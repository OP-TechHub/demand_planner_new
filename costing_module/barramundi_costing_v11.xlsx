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eed WACC" sheetId="1" state="visible" r:id="rId3"/>
    <sheet name="Assumptions (Domestic)" sheetId="2" state="visible" r:id="rId4"/>
    <sheet name="SKU Costing (Domestic)" sheetId="3" state="visible" r:id="rId5"/>
    <sheet name="Assumptions (Export)" sheetId="4" state="visible" r:id="rId6"/>
    <sheet name="SKU Costing (Export)" sheetId="5" state="visible" r:id="rId7"/>
    <sheet name="Master Yield summary " sheetId="6" state="visible" r:id="rId8"/>
  </sheets>
  <definedNames>
    <definedName function="false" hidden="true" localSheetId="2" name="_xlnm._FilterDatabase" vbProcedure="false">'SKU Costing (Domestic)'!$A$3:$X$37</definedName>
    <definedName function="false" hidden="true" localSheetId="4" name="_xlnm._FilterDatabase" vbProcedure="false">'SKU Costing (Export)'!$A$3:$AF$37</definedName>
    <definedName function="false" hidden="false" name="AAA" vbProcedure="false">#REF!</definedName>
    <definedName function="false" hidden="false" name="ab" vbProcedure="false">#REF!</definedName>
    <definedName function="false" hidden="false" name="abk" vbProcedure="false">#N/A</definedName>
    <definedName function="false" hidden="false" name="accounting" vbProcedure="false">#REF!</definedName>
    <definedName function="false" hidden="false" name="Acc_List" vbProcedure="false">#REF!</definedName>
    <definedName function="false" hidden="false" name="Acc_List_II" vbProcedure="false">#REF!</definedName>
    <definedName function="false" hidden="false" name="Act_Date" vbProcedure="false">#REF!</definedName>
    <definedName function="false" hidden="false" name="Act_FullScreen" vbProcedure="false">#REF!</definedName>
    <definedName function="false" hidden="false" name="Act_It" vbProcedure="false">#REF!</definedName>
    <definedName function="false" hidden="false" name="Act_Name" vbProcedure="false">#REF!</definedName>
    <definedName function="false" hidden="false" name="Act_Obj" vbProcedure="false">#REF!</definedName>
    <definedName function="false" hidden="false" name="Act_Obj_Accuracy" vbProcedure="false">#REF!</definedName>
    <definedName function="false" hidden="false" name="Act_Obj_Comp" vbProcedure="false">#REF!</definedName>
    <definedName function="false" hidden="false" name="Act_Obj_Existence" vbProcedure="false">#REF!</definedName>
    <definedName function="false" hidden="false" name="Act_Obj_PwC_Example" vbProcedure="false">#REF!</definedName>
    <definedName function="false" hidden="false" name="Act_PM" vbProcedure="false">#REF!</definedName>
    <definedName function="false" hidden="false" name="Act_Total" vbProcedure="false">#REF!</definedName>
    <definedName function="false" hidden="false" name="agdump" vbProcedure="false">#REF!</definedName>
    <definedName function="false" hidden="false" name="agedump" vbProcedure="false">#REF!</definedName>
    <definedName function="false" hidden="false" name="agencydump" vbProcedure="false">#REF!</definedName>
    <definedName function="false" hidden="false" name="AGENCYLY" vbProcedure="false">#REF!</definedName>
    <definedName function="false" hidden="false" name="AGENCYPLAN" vbProcedure="false">#REF!</definedName>
    <definedName function="false" hidden="false" name="APROV" vbProcedure="false">#REF!</definedName>
    <definedName function="false" hidden="false" name="AR_Account_Name" vbProcedure="false">#REF!</definedName>
    <definedName function="false" hidden="false" name="AR_Approp_Complete" vbProcedure="false">#REF!</definedName>
    <definedName function="false" hidden="false" name="AR_Audit_Date" vbProcedure="false">#REF!</definedName>
    <definedName function="false" hidden="false" name="AR_Client_Name" vbProcedure="false">#REF!</definedName>
    <definedName function="false" hidden="false" name="AR_Define_Exceptions" vbProcedure="false">#REF!</definedName>
    <definedName function="false" hidden="false" name="AR_Evaluation_Doc" vbProcedure="false">#REF!</definedName>
    <definedName function="false" hidden="false" name="AR_Expand" vbProcedure="false">#REF!</definedName>
    <definedName function="false" hidden="false" name="AR_Level_Ass" vbProcedure="false">#REF!</definedName>
    <definedName function="false" hidden="false" name="AR_Num_Excep_Id" vbProcedure="false">#REF!</definedName>
    <definedName function="false" hidden="false" name="AR_Pop" vbProcedure="false">#REF!</definedName>
    <definedName function="false" hidden="false" name="AR_Reference_work_summarize" vbProcedure="false">#REF!</definedName>
    <definedName function="false" hidden="false" name="AR_Report_name" vbProcedure="false">#REF!</definedName>
    <definedName function="false" hidden="false" name="AR_Selection_Method" vbProcedure="false">#REF!</definedName>
    <definedName function="false" hidden="false" name="AR_Sel_Meth" vbProcedure="false">#REF!</definedName>
    <definedName function="false" hidden="false" name="AR_Testing_unit" vbProcedure="false">#REF!</definedName>
    <definedName function="false" hidden="false" name="AR_Test_Descrip" vbProcedure="false">#REF!</definedName>
    <definedName function="false" hidden="false" name="AR_Tol_Excep" vbProcedure="false">#REF!</definedName>
    <definedName function="false" hidden="false" name="as" vbProcedure="false">#REF!</definedName>
    <definedName function="false" hidden="false" name="asdfg" vbProcedure="false">#REF!</definedName>
    <definedName function="false" hidden="false" name="asdfghj" vbProcedure="false">#REF!</definedName>
    <definedName function="false" hidden="false" name="att" vbProcedure="false">#REF!</definedName>
    <definedName function="false" hidden="false" name="AU_329" vbProcedure="false">#REF!</definedName>
    <definedName function="false" hidden="false" name="AWCONTS" vbProcedure="false">#REF!</definedName>
    <definedName function="false" hidden="false" name="Baha" vbProcedure="false">#REF!</definedName>
    <definedName function="false" hidden="false" name="BAL03955555" vbProcedure="false">#REF!</definedName>
    <definedName function="false" hidden="false" name="Balance_Sheet" vbProcedure="false">#REF!</definedName>
    <definedName function="false" hidden="false" name="bang" vbProcedure="false">#REF!</definedName>
    <definedName function="false" hidden="false" name="BCNXT152153" vbProcedure="false">#REF!</definedName>
    <definedName function="false" hidden="false" name="BCNXT155156" vbProcedure="false">#REF!</definedName>
    <definedName function="false" hidden="false" name="Beg_Bal" vbProcedure="false">#REF!</definedName>
    <definedName function="false" hidden="false" name="bms" vbProcedure="false">#REF!</definedName>
    <definedName function="false" hidden="false" name="bn" vbProcedure="false">#REF!</definedName>
    <definedName function="false" hidden="false" name="BPROV" vbProcedure="false">#REF!</definedName>
    <definedName function="false" hidden="false" name="bscum" vbProcedure="false">#REF!</definedName>
    <definedName function="false" hidden="false" name="bsinr" vbProcedure="false">#REF!</definedName>
    <definedName function="false" hidden="false" name="bsusd" vbProcedure="false">#REF!</definedName>
    <definedName function="false" hidden="false" name="BudgetSeason" vbProcedure="false">#REF!</definedName>
    <definedName function="false" hidden="false" name="budmain" vbProcedure="false">#REF!</definedName>
    <definedName function="false" hidden="false" name="BUDSALES" vbProcedure="false">#REF!</definedName>
    <definedName function="false" hidden="false" name="button_area_1" vbProcedure="false">#REF!</definedName>
    <definedName function="false" hidden="false" name="buyothacc" vbProcedure="false">#REF!</definedName>
    <definedName function="false" hidden="false" name="cac" vbProcedure="false">#REF!</definedName>
    <definedName function="false" hidden="false" name="CalcAgencyPrice" vbProcedure="false">#REF!</definedName>
    <definedName function="false" hidden="false" name="Calculated_Number_of_Items_to_Test" vbProcedure="false">#REF!</definedName>
    <definedName function="false" hidden="false" name="CAN" vbProcedure="false">#REF!</definedName>
    <definedName function="false" hidden="false" name="Can_testing_be_expanded?" vbProcedure="false">#REF!</definedName>
    <definedName function="false" hidden="false" name="cash" vbProcedure="false">#REF!</definedName>
    <definedName function="false" hidden="false" name="Cashflow" vbProcedure="false">#REF!</definedName>
    <definedName function="false" hidden="false" name="catacc" vbProcedure="false">#REF!</definedName>
    <definedName function="false" hidden="false" name="ccc" vbProcedure="false">#REF!</definedName>
    <definedName function="false" hidden="false" name="CCE" vbProcedure="false">#REF!</definedName>
    <definedName function="false" hidden="false" name="celltips_area" vbProcedure="false">#REF!</definedName>
    <definedName function="false" hidden="false" name="cha" vbProcedure="false">#REF!</definedName>
    <definedName function="false" hidden="false" name="CIE" vbProcedure="false">#N/A</definedName>
    <definedName function="false" hidden="false" name="cj" vbProcedure="false">#REF!</definedName>
    <definedName function="false" hidden="false" name="Client_Name" vbProcedure="false">#REF!</definedName>
    <definedName function="false" hidden="false" name="CNKH131" vbProcedure="false">#REF!</definedName>
    <definedName function="false" hidden="false" name="CNKH331" vbProcedure="false">#REF!</definedName>
    <definedName function="false" hidden="false" name="code" vbProcedure="false">#REF!</definedName>
    <definedName function="false" hidden="false" name="cofother" vbProcedure="false">#REF!,#REF!,#REF!,#REF!,#REF!,#REF!,#REF!,#REF!</definedName>
    <definedName function="false" hidden="false" name="Commission" vbProcedure="false">#REF!</definedName>
    <definedName function="false" hidden="false" name="CommPrint" vbProcedure="false">#REF!</definedName>
    <definedName function="false" hidden="false" name="COMPDATE" vbProcedure="false">TEXT(comparative_period,"d mmmm yyyy")</definedName>
    <definedName function="false" hidden="false" name="COMPSHORT" vbProcedure="false">TEXT(comparative_period,"d mmm yyyy")</definedName>
    <definedName function="false" hidden="false" name="cor" vbProcedure="false">#REF!</definedName>
    <definedName function="false" hidden="false" name="CUM" vbProcedure="false">#REF!</definedName>
    <definedName function="false" hidden="false" name="CUMTI" vbProcedure="false">#REF!</definedName>
    <definedName function="false" hidden="false" name="CURRDATE" vbProcedure="false">TEXT(current_period,"d mmmm yyyy")</definedName>
    <definedName function="false" hidden="false" name="CURRDAY" vbProcedure="false">TEXT(current_period,"d mmmm")</definedName>
    <definedName function="false" hidden="false" name="CURRSHORT" vbProcedure="false">TEXT(current_period,"d mmm yyyy")</definedName>
    <definedName function="false" hidden="false" name="C_" vbProcedure="false">#REF!</definedName>
    <definedName function="false" hidden="false" name="dad" vbProcedure="false">#N/A</definedName>
    <definedName function="false" hidden="false" name="DaRWk1" vbProcedure="false">#REF!</definedName>
    <definedName function="false" hidden="false" name="DaRWk10" vbProcedure="false">#REF!</definedName>
    <definedName function="false" hidden="false" name="DaRWk11" vbProcedure="false">#REF!</definedName>
    <definedName function="false" hidden="false" name="DaRWk12" vbProcedure="false">#REF!</definedName>
    <definedName function="false" hidden="false" name="DaRWk2" vbProcedure="false">#REF!</definedName>
    <definedName function="false" hidden="false" name="DaRWk3" vbProcedure="false">#REF!</definedName>
    <definedName function="false" hidden="false" name="DaRWk4" vbProcedure="false">#REF!</definedName>
    <definedName function="false" hidden="false" name="DaRWk5" vbProcedure="false">#REF!</definedName>
    <definedName function="false" hidden="false" name="DaRWk6" vbProcedure="false">#REF!</definedName>
    <definedName function="false" hidden="false" name="DaRWk8" vbProcedure="false">#REF!</definedName>
    <definedName function="false" hidden="false" name="DaRwk9" vbProcedure="false">#REF!</definedName>
    <definedName function="false" hidden="false" name="Database_MI" vbProcedure="false">#REF!</definedName>
    <definedName function="false" hidden="false" name="DATE" vbProcedure="false">#REF!</definedName>
    <definedName function="false" hidden="false" name="DATES" vbProcedure="false">#REF!</definedName>
    <definedName function="false" hidden="false" name="DaWk7" vbProcedure="false">#REF!</definedName>
    <definedName function="false" hidden="false" name="dbdate" vbProcedure="false">#REF!</definedName>
    <definedName function="false" hidden="false" name="dbrwk1" vbProcedure="false">#REF!</definedName>
    <definedName function="false" hidden="false" name="dbrwk10" vbProcedure="false">#REF!</definedName>
    <definedName function="false" hidden="false" name="dbrwk11" vbProcedure="false">#REF!</definedName>
    <definedName function="false" hidden="false" name="dbrwk12" vbProcedure="false">#REF!</definedName>
    <definedName function="false" hidden="false" name="dbrwk2" vbProcedure="false">#REF!</definedName>
    <definedName function="false" hidden="false" name="dbrwk3" vbProcedure="false">#REF!</definedName>
    <definedName function="false" hidden="false" name="dbrwk4" vbProcedure="false">#REF!</definedName>
    <definedName function="false" hidden="false" name="dbrwk5" vbProcedure="false">#REF!</definedName>
    <definedName function="false" hidden="false" name="dbrwk6" vbProcedure="false">#REF!</definedName>
    <definedName function="false" hidden="false" name="dbrwk7" vbProcedure="false">#REF!</definedName>
    <definedName function="false" hidden="false" name="dbrwk8" vbProcedure="false">#REF!</definedName>
    <definedName function="false" hidden="false" name="dbrwk9" vbProcedure="false">#REF!</definedName>
    <definedName function="false" hidden="false" name="dcrwk1" vbProcedure="false">#REF!</definedName>
    <definedName function="false" hidden="false" name="dcrwk10" vbProcedure="false">#REF!</definedName>
    <definedName function="false" hidden="false" name="dcrwk11" vbProcedure="false">#REF!</definedName>
    <definedName function="false" hidden="false" name="dcrwk12" vbProcedure="false">#REF!</definedName>
    <definedName function="false" hidden="false" name="dcrwk2" vbProcedure="false">#REF!</definedName>
    <definedName function="false" hidden="false" name="dcrwk3" vbProcedure="false">#REF!</definedName>
    <definedName function="false" hidden="false" name="dcrwk4" vbProcedure="false">#REF!</definedName>
    <definedName function="false" hidden="false" name="dcrwk5" vbProcedure="false">#REF!</definedName>
    <definedName function="false" hidden="false" name="dcrwk6" vbProcedure="false">#REF!</definedName>
    <definedName function="false" hidden="false" name="dcrwk7" vbProcedure="false">#REF!</definedName>
    <definedName function="false" hidden="false" name="dcrwk8" vbProcedure="false">#REF!</definedName>
    <definedName function="false" hidden="false" name="dcrwk9" vbProcedure="false">#REF!</definedName>
    <definedName function="false" hidden="false" name="def" vbProcedure="false">#N/A</definedName>
    <definedName function="false" hidden="false" name="DelDC" vbProcedure="false">#REF!</definedName>
    <definedName function="false" hidden="false" name="DelDm" vbProcedure="false">#REF!</definedName>
    <definedName function="false" hidden="false" name="Delivery" vbProcedure="false">#REF!</definedName>
    <definedName function="false" hidden="false" name="DelType" vbProcedure="false">#REF!</definedName>
    <definedName function="false" hidden="false" name="deptLookup" vbProcedure="false">#REF!</definedName>
    <definedName function="false" hidden="false" name="dhdhd" vbProcedure="false">#REF!</definedName>
    <definedName function="false" hidden="false" name="ditinvacc" vbProcedure="false">#REF!</definedName>
    <definedName function="false" hidden="false" name="DIVREC" vbProcedure="false">#REF!</definedName>
    <definedName function="false" hidden="false" name="DJ" vbProcedure="false">#REF!</definedName>
    <definedName function="false" hidden="false" name="DOVEACC" vbProcedure="false">#REF!</definedName>
    <definedName function="false" hidden="false" name="dsadsd" vbProcedure="false">#N/A</definedName>
    <definedName function="false" hidden="false" name="dswd" vbProcedure="false">#N/A</definedName>
    <definedName function="false" hidden="false" name="DUB" vbProcedure="false">#REF!</definedName>
    <definedName function="false" hidden="false" name="dumppr" vbProcedure="false">#REF!</definedName>
    <definedName function="false" hidden="false" name="dutyacc" vbProcedure="false">#REF!</definedName>
    <definedName function="false" hidden="false" name="DUTYACCCALC" vbProcedure="false">#REF!</definedName>
    <definedName function="false" hidden="false" name="ee" vbProcedure="false">#REF!</definedName>
    <definedName function="false" hidden="false" name="eeeeed" vbProcedure="false">DATE(YEAR(Loan_Start),MONTH(Loan_Start)+payment_number,DAY(Loan_Start))</definedName>
    <definedName function="false" hidden="false" name="Loan_Start" vbProcedure="false">#REF!</definedName>
    <definedName function="false" hidden="false" name="eioyhdo" vbProcedure="false">#N/A</definedName>
    <definedName function="false" hidden="false" name="End_Bal" vbProcedure="false">#REF!</definedName>
    <definedName function="false" hidden="false" name="Enter_Number_of_Items_Actually_Tested" vbProcedure="false">#REF!</definedName>
    <definedName function="false" hidden="false" name="era" vbProcedure="false">#REF!</definedName>
    <definedName function="false" hidden="false" name="Err_Add_Plus10" vbProcedure="false">#REF!</definedName>
    <definedName function="false" hidden="false" name="Err_Box_AddSamp" vbProcedure="false">#REF!</definedName>
    <definedName function="false" hidden="false" name="Err_Box_Rej" vbProcedure="false">#REF!</definedName>
    <definedName function="false" hidden="false" name="Err_CellComments" vbProcedure="false">#REF!</definedName>
    <definedName function="false" hidden="false" name="Err_Date_Check" vbProcedure="false">#REF!</definedName>
    <definedName function="false" hidden="false" name="Err_Date_Numb" vbProcedure="false">#REF!</definedName>
    <definedName function="false" hidden="false" name="Err_Date_Today" vbProcedure="false">#REF!</definedName>
    <definedName function="false" hidden="false" name="Err_Empty" vbProcedure="false">#REF!</definedName>
    <definedName function="false" hidden="false" name="Err_Eval_Blank" vbProcedure="false">#REF!</definedName>
    <definedName function="false" hidden="false" name="Err_Fail_Verbiage" vbProcedure="false">#REF!</definedName>
    <definedName function="false" hidden="false" name="Err_InfoCheck" vbProcedure="false">#REF!</definedName>
    <definedName function="false" hidden="false" name="Err_NotesBox" vbProcedure="false">#REF!</definedName>
    <definedName function="false" hidden="false" name="Err_Random" vbProcedure="false">#REF!</definedName>
    <definedName function="false" hidden="false" name="Err_Rand_1" vbProcedure="false">#REF!</definedName>
    <definedName function="false" hidden="false" name="Err_SampErr" vbProcedure="false">#REF!</definedName>
    <definedName function="false" hidden="false" name="Err_StopCode" vbProcedure="false">#REF!</definedName>
    <definedName function="false" hidden="false" name="Eval_btn" vbProcedure="false">#REF!</definedName>
    <definedName function="false" hidden="false" name="Eval_btn_Ans" vbProcedure="false">#REF!</definedName>
    <definedName function="false" hidden="false" name="Eval_MR" vbProcedure="false">#REF!</definedName>
    <definedName function="false" hidden="false" name="Eval_Targ_T" vbProcedure="false">#REF!</definedName>
    <definedName function="false" hidden="false" name="Eval_Text" vbProcedure="false">#REF!</definedName>
    <definedName function="false" hidden="false" name="Eval_TM" vbProcedure="false">#REF!</definedName>
    <definedName function="false" hidden="false" name="Eval_TTMR" vbProcedure="false">#REF!</definedName>
    <definedName function="false" hidden="false" name="Excel_BuiltIn_Database" vbProcedure="false">#REF!</definedName>
    <definedName function="false" hidden="false" name="Excel_BuiltIn_Print_Area_1" vbProcedure="false">#REF!</definedName>
    <definedName function="false" hidden="false" name="Excel_BuiltIn_Print_Area_11" vbProcedure="false">#REF!</definedName>
    <definedName function="false" hidden="false" name="Excel_BuiltIn_Print_Area_2" vbProcedure="false">"$#REF!.$A$2:$I$38"</definedName>
    <definedName function="false" hidden="false" name="Excel_BuiltIn_Print_Area_3" vbProcedure="false">#REF!</definedName>
    <definedName function="false" hidden="false" name="Excel_BuiltIn_Print_Area_4" vbProcedure="false">"$#REF!.$A$2:$I$252"</definedName>
    <definedName function="false" hidden="false" name="Excel_BuiltIn_Print_Area_4_1" vbProcedure="false">#REF!</definedName>
    <definedName function="false" hidden="false" name="Excel_BuiltIn_Print_Area_5" vbProcedure="false">"$#REF!.$A$2:$I$1189"</definedName>
    <definedName function="false" hidden="false" name="Exchange_Loss" vbProcedure="false">#REF!</definedName>
    <definedName function="false" hidden="false" name="ExemptSection" vbProcedure="false">"249A(2)"</definedName>
    <definedName function="false" hidden="false" name="Exports" vbProcedure="false">#REF!</definedName>
    <definedName function="false" hidden="false" name="Extra_Pay" vbProcedure="false">#REF!</definedName>
    <definedName function="false" hidden="false" name="F30\" vbProcedure="false">#REF!</definedName>
    <definedName function="false" hidden="false" name="FACE" vbProcedure="false">#REF!</definedName>
    <definedName function="false" hidden="false" name="fff" vbProcedure="false">#REF!</definedName>
    <definedName function="false" hidden="false" name="fg" vbProcedure="false">#REF!</definedName>
    <definedName function="false" hidden="false" name="fgrg" vbProcedure="false">#N/A</definedName>
    <definedName function="false" hidden="false" name="fin" vbProcedure="false">#REF!</definedName>
    <definedName function="false" hidden="false" name="Finance" vbProcedure="false">#REF!</definedName>
    <definedName function="false" hidden="false" name="FIRSTDATE" vbProcedure="false">TEXT(comparative_period+1,"d mmmm yyyy")</definedName>
    <definedName function="false" hidden="false" name="FIRSTDAY" vbProcedure="false">TEXT(comparative_period+1,"d mmmm")</definedName>
    <definedName function="false" hidden="false" name="FIRSTSHORT" vbProcedure="false">TEXT(comparative_period+1,"d mmm yyyy")</definedName>
    <definedName function="false" hidden="false" name="FS" vbProcedure="false">#N/A</definedName>
    <definedName function="false" hidden="false" name="Full_Print" vbProcedure="false">#REF!</definedName>
    <definedName function="false" hidden="false" name="gac" vbProcedure="false">#REF!</definedName>
    <definedName function="false" hidden="false" name="Gan" vbProcedure="false">#REF!</definedName>
    <definedName function="false" hidden="false" name="GF" vbProcedure="false">#REF!</definedName>
    <definedName function="false" hidden="false" name="ghhh" vbProcedure="false">#N/A</definedName>
    <definedName function="false" hidden="false" name="ghj" vbProcedure="false">#N/A</definedName>
    <definedName function="false" hidden="false" name="GrphActSales" vbProcedure="false">#REF!</definedName>
    <definedName function="false" hidden="false" name="GrphActStk" vbProcedure="false">#REF!</definedName>
    <definedName function="false" hidden="false" name="GrphPlanSales" vbProcedure="false">#REF!</definedName>
    <definedName function="false" hidden="false" name="GrphTgtStk" vbProcedure="false">#REF!</definedName>
    <definedName function="false" hidden="false" name="GSTLP" vbProcedure="false">#REF!</definedName>
    <definedName function="false" hidden="false" name="gstlr" vbProcedure="false">#REF!</definedName>
    <definedName function="false" hidden="false" name="gtggt" vbProcedure="false">#N/A</definedName>
    <definedName function="false" hidden="false" name="gthht" vbProcedure="false">#N/A</definedName>
    <definedName function="false" hidden="false" name="Header_Row" vbProcedure="false">ROW(#REF!)</definedName>
    <definedName function="false" hidden="false" name="heading" vbProcedure="false">#REF!</definedName>
    <definedName function="false" hidden="false" name="HG" vbProcedure="false">#N/A</definedName>
    <definedName function="false" hidden="false" name="hhh" vbProcedure="false">#REF!</definedName>
    <definedName function="false" hidden="false" name="HOBS2" vbProcedure="false">#REF!</definedName>
    <definedName function="false" hidden="false" name="htht" vbProcedure="false">#N/A</definedName>
    <definedName function="false" hidden="false" name="idcprov" vbProcedure="false">#REF!</definedName>
    <definedName function="false" hidden="false" name="IELWSALES" vbProcedure="false">#REF!</definedName>
    <definedName function="false" hidden="false" name="IELYSALES" vbProcedure="false">#REF!</definedName>
    <definedName function="false" hidden="false" name="IEPLANSALES" vbProcedure="false">#REF!</definedName>
    <definedName function="false" hidden="false" name="IESP" vbProcedure="false">#REF!</definedName>
    <definedName function="false" hidden="false" name="ii" vbProcedure="false">#N/A</definedName>
    <definedName function="false" hidden="false" name="in" vbProcedure="false">#REF!</definedName>
    <definedName function="false" hidden="false" name="INDI" vbProcedure="false">#REF!</definedName>
    <definedName function="false" hidden="false" name="Int" vbProcedure="false">#REF!</definedName>
    <definedName function="false" hidden="false" name="Interest_Rate" vbProcedure="false">#REF!</definedName>
    <definedName function="false" hidden="false" name="IntFreeCred" vbProcedure="false">#REF!</definedName>
    <definedName function="false" hidden="false" name="INTPAY" vbProcedure="false">#REF!</definedName>
    <definedName function="false" hidden="false" name="INTREC" vbProcedure="false">#REF!</definedName>
    <definedName function="false" hidden="false" name="is" vbProcedure="false">#REF!</definedName>
    <definedName function="false" hidden="false" name="isdec" vbProcedure="false">#REF!</definedName>
    <definedName function="false" hidden="false" name="isj" vbProcedure="false">#REF!</definedName>
    <definedName function="false" hidden="false" name="iss" vbProcedure="false">#REF!</definedName>
    <definedName function="false" hidden="false" name="Items" vbProcedure="false">#REF!</definedName>
    <definedName function="false" hidden="false" name="ItemsActuallyTested" vbProcedure="false">#REF!</definedName>
    <definedName function="false" hidden="false" name="jc" vbProcedure="false">#REF!</definedName>
    <definedName function="false" hidden="false" name="jhhjioj" vbProcedure="false">#N/A</definedName>
    <definedName function="false" hidden="false" name="ji" vbProcedure="false">#REF!</definedName>
    <definedName function="false" hidden="false" name="JJH" vbProcedure="false">#REF!</definedName>
    <definedName function="false" hidden="false" name="jjvs" vbProcedure="false">#REF!</definedName>
    <definedName function="false" hidden="false" name="JOC" vbProcedure="false">#REF!</definedName>
    <definedName function="false" hidden="false" name="JOCE" vbProcedure="false">#REF!</definedName>
    <definedName function="false" hidden="false" name="jtl" vbProcedure="false">#REF!</definedName>
    <definedName function="false" hidden="false" name="jui" vbProcedure="false">#REF!</definedName>
    <definedName function="false" hidden="false" name="jw" vbProcedure="false">#REF!</definedName>
    <definedName function="false" hidden="false" name="k" vbProcedure="false">#REF!</definedName>
    <definedName function="false" hidden="false" name="keyerracc" vbProcedure="false">#REF!</definedName>
    <definedName function="false" hidden="false" name="kh" vbProcedure="false">#REF!</definedName>
    <definedName function="false" hidden="false" name="Last_Row" vbProcedure="false">#N/A</definedName>
    <definedName function="false" hidden="false" name="lb" vbProcedure="false">#REF!</definedName>
    <definedName function="false" hidden="false" name="lidwina" vbProcedure="false">#REF!</definedName>
    <definedName function="false" hidden="false" name="LIST" vbProcedure="false">#REF!</definedName>
    <definedName function="false" hidden="false" name="ll" vbProcedure="false">#REF!</definedName>
    <definedName function="false" hidden="true" name="LLLLLLLLL" vbProcedure="false">0</definedName>
    <definedName function="false" hidden="false" name="lloyacc" vbProcedure="false">#REF!</definedName>
    <definedName function="false" hidden="false" name="Loan_Amount" vbProcedure="false">#REF!</definedName>
    <definedName function="false" hidden="false" name="Loan_Years" vbProcedure="false">#REF!</definedName>
    <definedName function="false" hidden="false" name="LOCRTNPROV" vbProcedure="false">#REF!</definedName>
    <definedName function="false" hidden="false" name="LOCSTKPROV" vbProcedure="false">#REF!</definedName>
    <definedName function="false" hidden="false" name="lotcprov" vbProcedure="false">#REF!</definedName>
    <definedName function="false" hidden="false" name="lotprov" vbProcedure="false">#REF!</definedName>
    <definedName function="false" hidden="false" name="luc" vbProcedure="false">#REF!</definedName>
    <definedName function="false" hidden="false" name="LWSALES" vbProcedure="false">#REF!</definedName>
    <definedName function="false" hidden="false" name="LYBin" vbProcedure="false">#REF!</definedName>
    <definedName function="false" hidden="false" name="LYHolds" vbProcedure="false">#REF!</definedName>
    <definedName function="false" hidden="false" name="LYNet" vbProcedure="false">#REF!</definedName>
    <definedName function="false" hidden="false" name="LYoos" vbProcedure="false">#REF!</definedName>
    <definedName function="false" hidden="false" name="LYReselects" vbProcedure="false">#REF!</definedName>
    <definedName function="false" hidden="false" name="LYReturns" vbProcedure="false">#REF!</definedName>
    <definedName function="false" hidden="false" name="LYSales" vbProcedure="false">#REF!</definedName>
    <definedName function="false" hidden="false" name="LYTotal" vbProcedure="false">#REF!</definedName>
    <definedName function="false" hidden="false" name="m" vbProcedure="false">#N/A</definedName>
    <definedName function="false" hidden="false" name="MACH" vbProcedure="false">#REF!</definedName>
    <definedName function="false" hidden="false" name="Macro1" vbProcedure="false">#N/A</definedName>
    <definedName function="false" hidden="false" name="MALI" vbProcedure="false">#N/A</definedName>
    <definedName function="false" hidden="false" name="MALI1" vbProcedure="false">#N/A</definedName>
    <definedName function="false" hidden="false" name="MALI2" vbProcedure="false">#N/A</definedName>
    <definedName function="false" hidden="false" name="map" vbProcedure="false">#REF!</definedName>
    <definedName function="false" hidden="false" name="MARGINPLAN" vbProcedure="false">#REF!</definedName>
    <definedName function="false" hidden="false" name="MARGINPROJ" vbProcedure="false">#REF!</definedName>
    <definedName function="false" hidden="false" name="Mast" vbProcedure="false">#REF!</definedName>
    <definedName function="false" hidden="false" name="mc" vbProcedure="false">#REF!</definedName>
    <definedName function="false" hidden="false" name="MCW" vbProcedure="false">#REF!</definedName>
    <definedName function="false" hidden="false" name="mdownacc" vbProcedure="false">#REF!</definedName>
    <definedName function="false" hidden="false" name="Mis_Def" vbProcedure="false">#REF!</definedName>
    <definedName function="false" hidden="false" name="Mkt_Vouch" vbProcedure="false">#REF!,#REF!</definedName>
    <definedName function="false" hidden="false" name="mm" vbProcedure="false">#N/A</definedName>
    <definedName function="false" hidden="false" name="MRA" vbProcedure="false">#REF!</definedName>
    <definedName function="false" hidden="false" name="mti" vbProcedure="false">#REF!</definedName>
    <definedName function="false" hidden="false" name="mv" vbProcedure="false">#REF!</definedName>
    <definedName function="false" hidden="false" name="n" vbProcedure="false">#REF!</definedName>
    <definedName function="false" hidden="false" name="nali" vbProcedure="false">#N/A</definedName>
    <definedName function="false" hidden="false" name="NBT" vbProcedure="false">#REF!</definedName>
    <definedName function="false" hidden="false" name="NESNACC" vbProcedure="false">#REF!</definedName>
    <definedName function="false" hidden="false" name="new" vbProcedure="false">#REF!</definedName>
    <definedName function="false" hidden="false" name="nilacc" vbProcedure="false">#REF!</definedName>
    <definedName function="false" hidden="false" name="niltrnacc" vbProcedure="false">#REF!</definedName>
    <definedName function="false" hidden="false" name="nn" vbProcedure="false">#REF!</definedName>
    <definedName function="false" hidden="false" name="NOTE1" vbProcedure="false">#REF!</definedName>
    <definedName function="false" hidden="false" name="NOTE2" vbProcedure="false">#REF!</definedName>
    <definedName function="false" hidden="false" name="Number_of_Items_Actually_Tested" vbProcedure="false">#REF!</definedName>
    <definedName function="false" hidden="false" name="Number_of_Payments" vbProcedure="false">MATCH(0.01,End_Bal,-1)+1</definedName>
    <definedName function="false" hidden="false" name="Num_Pmt_Per_Year" vbProcedure="false">#REF!</definedName>
    <definedName function="false" hidden="false" name="oj" vbProcedure="false">#REF!</definedName>
    <definedName function="false" hidden="false" name="OS" vbProcedure="false">#REF!</definedName>
    <definedName function="false" hidden="false" name="oth" vbProcedure="false">#REF!</definedName>
    <definedName function="false" hidden="false" name="ots" vbProcedure="false">#REF!</definedName>
    <definedName function="false" hidden="false" name="ott" vbProcedure="false">#REF!</definedName>
    <definedName function="false" hidden="false" name="p" vbProcedure="false">#REF!</definedName>
    <definedName function="false" hidden="false" name="P3_" vbProcedure="false">#N/A</definedName>
    <definedName function="false" hidden="false" name="Page13" vbProcedure="false">#REF!</definedName>
    <definedName function="false" hidden="false" name="Payment_Date" vbProcedure="false">#N/A</definedName>
    <definedName function="false" hidden="false" name="Pay_Date" vbProcedure="false">#REF!</definedName>
    <definedName function="false" hidden="false" name="Pay_Num" vbProcedure="false">#REF!</definedName>
    <definedName function="false" hidden="false" name="PER3DUTY" vbProcedure="false">#REF!</definedName>
    <definedName function="false" hidden="false" name="Period" vbProcedure="false">#REF!</definedName>
    <definedName function="false" hidden="false" name="PERNO" vbProcedure="false">#REF!</definedName>
    <definedName function="false" hidden="false" name="PERSONAL" vbProcedure="false">"Button 31"</definedName>
    <definedName function="false" hidden="false" name="PHASE" vbProcedure="false">#N/A</definedName>
    <definedName function="false" hidden="false" name="plmthinr" vbProcedure="false">#REF!</definedName>
    <definedName function="false" hidden="false" name="PLTH" vbProcedure="false">#REF!</definedName>
    <definedName function="false" hidden="false" name="poinvacc" vbProcedure="false">#REF!</definedName>
    <definedName function="false" hidden="false" name="POIOP" vbProcedure="false">#N/A</definedName>
    <definedName function="false" hidden="false" name="Pop_AC" vbProcedure="false">#REF!</definedName>
    <definedName function="false" hidden="false" name="Pop_Acc_Comp" vbProcedure="false">#REF!</definedName>
    <definedName function="false" hidden="false" name="Pop_Def" vbProcedure="false">#REF!</definedName>
    <definedName function="false" hidden="false" name="Pop_Imm_Def" vbProcedure="false">#REF!</definedName>
    <definedName function="false" hidden="false" name="Pop_Imm_It" vbProcedure="false">#REF!</definedName>
    <definedName function="false" hidden="false" name="Pop_Imm_T" vbProcedure="false">#REF!</definedName>
    <definedName function="false" hidden="false" name="Pop_Samp_It" vbProcedure="false">#REF!</definedName>
    <definedName function="false" hidden="false" name="Pop_Samp_T" vbProcedure="false">#REF!</definedName>
    <definedName function="false" hidden="false" name="Pop_Sig_Def" vbProcedure="false">#REF!</definedName>
    <definedName function="false" hidden="false" name="Pop_Sig_It" vbProcedure="false">#REF!</definedName>
    <definedName function="false" hidden="false" name="Pop_Sig_T" vbProcedure="false">#REF!</definedName>
    <definedName function="false" hidden="false" name="Pop_SU" vbProcedure="false">#REF!</definedName>
    <definedName function="false" hidden="false" name="POSTPONED_TO_DEC" vbProcedure="false">#REF!</definedName>
    <definedName function="false" hidden="false" name="pp" vbProcedure="false">#REF!</definedName>
    <definedName function="false" hidden="false" name="ppe" vbProcedure="false">#REF!</definedName>
    <definedName function="false" hidden="false" name="PRDump" vbProcedure="false">#REF!</definedName>
    <definedName function="false" hidden="false" name="price" vbProcedure="false">#REF!</definedName>
    <definedName function="false" hidden="false" name="Princ" vbProcedure="false">#REF!</definedName>
    <definedName function="false" hidden="false" name="PrintArea2" vbProcedure="false">#REF!</definedName>
    <definedName function="false" hidden="false" name="PRINTLOC" vbProcedure="false">#N/A</definedName>
    <definedName function="false" hidden="false" name="Print_Area_Reset" vbProcedure="false">#N/A</definedName>
    <definedName function="false" hidden="false" name="Proj_Meth" vbProcedure="false">#REF!</definedName>
    <definedName function="false" hidden="false" name="PROMO" vbProcedure="false">#N/A</definedName>
    <definedName function="false" hidden="false" name="pvs" vbProcedure="false">#REF!</definedName>
    <definedName function="false" hidden="false" name="q" vbProcedure="false">#REF!</definedName>
    <definedName function="false" hidden="false" name="qedxqsx" vbProcedure="false">#REF!</definedName>
    <definedName function="false" hidden="false" name="qq" vbProcedure="false">#REF!</definedName>
    <definedName function="false" hidden="false" name="qqqqqqqqqqqqq" vbProcedure="false">scheduled_payment+extra_payment</definedName>
    <definedName function="false" hidden="false" name="Query1" vbProcedure="false">#REF!</definedName>
    <definedName function="false" hidden="false" name="RATE" vbProcedure="false">#REF!</definedName>
    <definedName function="false" hidden="false" name="RawAgencyPrice" vbProcedure="false">#REF!</definedName>
    <definedName function="false" hidden="false" name="RBData" vbProcedure="false">#REF!</definedName>
    <definedName function="false" hidden="false" name="re" vbProcedure="false">#REF!</definedName>
    <definedName function="false" hidden="false" name="RECCANACC" vbProcedure="false">#REF!</definedName>
    <definedName function="false" hidden="false" name="RECE" vbProcedure="false">#REF!</definedName>
    <definedName function="false" hidden="false" name="RECEXACC" vbProcedure="false">#REF!</definedName>
    <definedName function="false" hidden="false" name="RECINACC" vbProcedure="false">#REF!</definedName>
    <definedName function="false" hidden="false" name="recs" vbProcedure="false">scheduled_payment+extra_payment</definedName>
    <definedName function="false" hidden="false" name="recx" vbProcedure="false">DATE(YEAR(Loan_Start),MONTH(Loan_Start)+payment_number,DAY(Loan_Start))</definedName>
    <definedName function="false" hidden="false" name="red" vbProcedure="false">scheduled_payment+extra_payment</definedName>
    <definedName function="false" hidden="false" name="Report" vbProcedure="false">#REF!</definedName>
    <definedName function="false" hidden="false" name="Reselects" vbProcedure="false">#REF!</definedName>
    <definedName function="false" hidden="false" name="returnprov" vbProcedure="false">#REF!</definedName>
    <definedName function="false" hidden="false" name="returns_prov" vbProcedure="false">#REF!</definedName>
    <definedName function="false" hidden="false" name="REVACC" vbProcedure="false">#REF!</definedName>
    <definedName function="false" hidden="false" name="REVPER" vbProcedure="false">#REF!</definedName>
    <definedName function="false" hidden="false" name="RMCOptions" vbProcedure="false">"*110000000000000"</definedName>
    <definedName function="false" hidden="false" name="RPT" vbProcedure="false">#REF!</definedName>
    <definedName function="false" hidden="false" name="rrr" vbProcedure="false">#REF!</definedName>
    <definedName function="false" hidden="false" name="rtb" vbProcedure="false">#N/A</definedName>
    <definedName function="false" hidden="false" name="s" vbProcedure="false">#REF!</definedName>
    <definedName function="false" hidden="false" name="S99BOYS" vbProcedure="false">#REF!</definedName>
    <definedName function="false" hidden="false" name="SALESPLAN" vbProcedure="false">#REF!</definedName>
    <definedName function="false" hidden="false" name="SALESPROJ" vbProcedure="false">#REF!</definedName>
    <definedName function="false" hidden="false" name="salesvar" vbProcedure="false">#REF!,#REF!,#REF!,#REF!,#REF!,#REF!,#REF!,#REF!,#REF!</definedName>
    <definedName function="false" hidden="false" name="Sampr_Factor" vbProcedure="false">#REF!</definedName>
    <definedName function="false" hidden="false" name="Samp_Ass" vbProcedure="false">#REF!</definedName>
    <definedName function="false" hidden="false" name="Samp_Calc_Sample" vbProcedure="false">#REF!</definedName>
    <definedName function="false" hidden="false" name="Samp_Calc_TM" vbProcedure="false">#REF!</definedName>
    <definedName function="false" hidden="false" name="Samp_DSS" vbProcedure="false">#REF!</definedName>
    <definedName function="false" hidden="false" name="Samp_EM_Per" vbProcedure="false">#REF!</definedName>
    <definedName function="false" hidden="false" name="Samp_EM_T" vbProcedure="false">#REF!</definedName>
    <definedName function="false" hidden="false" name="Samp_Factor" vbProcedure="false">#REF!</definedName>
    <definedName function="false" hidden="false" name="Samp_Min_SS" vbProcedure="false">#REF!</definedName>
    <definedName function="false" hidden="false" name="Samp_MTM" vbProcedure="false">#REF!</definedName>
    <definedName function="false" hidden="false" name="Samp_PM" vbProcedure="false">#REF!</definedName>
    <definedName function="false" hidden="false" name="Samp_Pre" vbProcedure="false">#REF!</definedName>
    <definedName function="false" hidden="false" name="Samp_Pre_T" vbProcedure="false">#REF!</definedName>
    <definedName function="false" hidden="false" name="Samp_RTB" vbProcedure="false">#REF!</definedName>
    <definedName function="false" hidden="false" name="Samp_RTB_Desc" vbProcedure="false">#REF!</definedName>
    <definedName function="false" hidden="false" name="Samp_Sel" vbProcedure="false">#REF!</definedName>
    <definedName function="false" hidden="false" name="Samp_Small_Adj" vbProcedure="false">#REF!</definedName>
    <definedName function="false" hidden="false" name="Samp_SS" vbProcedure="false">#REF!</definedName>
    <definedName function="false" hidden="false" name="Samp_TM_Diff" vbProcedure="false">#REF!</definedName>
    <definedName function="false" hidden="false" name="Samp_TM_Exp_Diff" vbProcedure="false">#REF!</definedName>
    <definedName function="false" hidden="false" name="Samp_TM_N" vbProcedure="false">#REF!</definedName>
    <definedName function="false" hidden="false" name="Samp_TM_Y" vbProcedure="false">#REF!</definedName>
    <definedName function="false" hidden="false" name="San" vbProcedure="false">#REF!</definedName>
    <definedName function="false" hidden="false" name="scenario" vbProcedure="false">DATE(YEAR(Loan_Start),MONTH(Loan_Start)+payment_number,DAY(Loan_Start))</definedName>
    <definedName function="false" hidden="false" name="Scheduled_Extra_Payments" vbProcedure="false">#REF!</definedName>
    <definedName function="false" hidden="false" name="Scheduled_Interest_Rate" vbProcedure="false">#REF!</definedName>
    <definedName function="false" hidden="false" name="Scheduled_Monthly_Payment" vbProcedure="false">#REF!</definedName>
    <definedName function="false" hidden="false" name="Sched_Pay" vbProcedure="false">#REF!</definedName>
    <definedName function="false" hidden="false" name="sd" vbProcedure="false">#N/A</definedName>
    <definedName function="false" hidden="false" name="SDATE" vbProcedure="false">#REF!</definedName>
    <definedName function="false" hidden="false" name="sdsdd" vbProcedure="false">DATE(YEAR(Loan_Start),MONTH(Loan_Start)+payment_number,DAY(Loan_Start))</definedName>
    <definedName function="false" hidden="false" name="sec" vbProcedure="false">#REF!</definedName>
    <definedName function="false" hidden="false" name="sepi" vbProcedure="false">#REF!</definedName>
    <definedName function="false" hidden="false" name="sepr" vbProcedure="false">#REF!</definedName>
    <definedName function="false" hidden="false" name="SERIAL" vbProcedure="false">#REF!</definedName>
    <definedName function="false" hidden="false" name="SERI_SELANGIN_SDN_BHD" vbProcedure="false">#REF!</definedName>
    <definedName function="false" hidden="false" name="SHASHI" vbProcedure="false">#N/A</definedName>
    <definedName function="false" hidden="false" name="SIZE" vbProcedure="false">#REF!</definedName>
    <definedName function="false" hidden="false" name="SKTB" vbProcedure="false">#REF!</definedName>
    <definedName function="false" hidden="false" name="stkl01" vbProcedure="false">#REF!</definedName>
    <definedName function="false" hidden="false" name="STOCK" vbProcedure="false">#REF!</definedName>
    <definedName function="false" hidden="false" name="Stocks_Written_Off" vbProcedure="false">#REF!</definedName>
    <definedName function="false" hidden="false" name="STORE" vbProcedure="false">#REF!</definedName>
    <definedName function="false" hidden="false" name="STORE3" vbProcedure="false">#N/A</definedName>
    <definedName function="false" hidden="false" name="STOREMISC" vbProcedure="false">#REF!,#REF!,#REF!,#REF!,#REF!,#REF!</definedName>
    <definedName function="false" hidden="false" name="storerates" vbProcedure="false">#REF!,#REF!</definedName>
    <definedName function="false" hidden="false" name="storerent" vbProcedure="false">#REF!,#REF!,#REF!</definedName>
    <definedName function="false" hidden="false" name="STOREVAR1" vbProcedure="false">#REF!,#REF!,#REF!,#REF!,#REF!,#REF!,#REF!</definedName>
    <definedName function="false" hidden="false" name="STOREVAR2" vbProcedure="false">#REF!,#REF!,#REF!,#REF!,#REF!</definedName>
    <definedName function="false" hidden="false" name="STOREVAR3" vbProcedure="false">#REF!,#REF!,#REF!,#REF!,#REF!,#REF!,#REF!,#REF!,#REF!</definedName>
    <definedName function="false" hidden="false" name="Strat_1_Def" vbProcedure="false">#REF!</definedName>
    <definedName function="false" hidden="false" name="Strat_1_It" vbProcedure="false">#REF!</definedName>
    <definedName function="false" hidden="false" name="Strat_1_T" vbProcedure="false">#REF!</definedName>
    <definedName function="false" hidden="false" name="Strat_2_Def" vbProcedure="false">#REF!</definedName>
    <definedName function="false" hidden="false" name="Strat_2_It" vbProcedure="false">#REF!</definedName>
    <definedName function="false" hidden="false" name="Strat_2_T" vbProcedure="false">#REF!</definedName>
    <definedName function="false" hidden="false" name="Strat_Dec" vbProcedure="false">#REF!</definedName>
    <definedName function="false" hidden="false" name="Strat_Def" vbProcedure="false">#REF!</definedName>
    <definedName function="false" hidden="false" name="Strat_T_It" vbProcedure="false">#REF!</definedName>
    <definedName function="false" hidden="false" name="Strat_T_T" vbProcedure="false">#REF!</definedName>
    <definedName function="false" hidden="false" name="STYLE_?" vbProcedure="false">#REF!</definedName>
    <definedName function="false" hidden="false" name="SUM" vbProcedure="false">#REF!</definedName>
    <definedName function="false" hidden="false" name="summary" vbProcedure="false">#REF!</definedName>
    <definedName function="false" hidden="false" name="Tab" vbProcedure="false">DATE(YEAR(Loan_Start),MONTH(Loan_Start)+payment_number,DAY(Loan_Start))</definedName>
    <definedName function="false" hidden="false" name="Table1" vbProcedure="false">#REF!</definedName>
    <definedName function="false" hidden="false" name="Tabs" vbProcedure="false">scheduled_payment+extra_payment</definedName>
    <definedName function="false" hidden="false" name="tb" vbProcedure="false">#N/A</definedName>
    <definedName function="false" hidden="false" name="tele" vbProcedure="false">#REF!</definedName>
    <definedName function="false" hidden="false" name="Template_Analytic" vbProcedure="false">#REF!</definedName>
    <definedName function="false" hidden="false" name="TEST" vbProcedure="false">#REF!</definedName>
    <definedName function="false" hidden="false" name="TEST0" vbProcedure="false">#REF!</definedName>
    <definedName function="false" hidden="false" name="TEST2" vbProcedure="false">#REF!</definedName>
    <definedName function="false" hidden="false" name="TESTHKEY" vbProcedure="false">#REF!</definedName>
    <definedName function="false" hidden="false" name="TESTKEYS" vbProcedure="false">#REF!</definedName>
    <definedName function="false" hidden="false" name="TESTVKEY" vbProcedure="false">#REF!</definedName>
    <definedName function="false" hidden="false" name="Test_Description" vbProcedure="false">#REF!</definedName>
    <definedName function="false" hidden="false" name="Test_II" vbProcedure="false">#REF!</definedName>
    <definedName function="false" hidden="false" name="Test_ND" vbProcedure="false">#REF!</definedName>
    <definedName function="false" hidden="false" name="Test_Proj_Mis" vbProcedure="false">#REF!</definedName>
    <definedName function="false" hidden="false" name="Test_Targ" vbProcedure="false">#REF!</definedName>
    <definedName function="false" hidden="false" name="Test_Total_T" vbProcedure="false">#REF!</definedName>
    <definedName function="false" hidden="false" name="ti" vbProcedure="false">#REF!</definedName>
    <definedName function="false" hidden="false" name="tij" vbProcedure="false">#REF!</definedName>
    <definedName function="false" hidden="false" name="TIL" vbProcedure="false">#REF!</definedName>
    <definedName function="false" hidden="false" name="tilc" vbProcedure="false">#REF!</definedName>
    <definedName function="false" hidden="false" name="tilj" vbProcedure="false">#REF!</definedName>
    <definedName function="false" hidden="false" name="tilr" vbProcedure="false">#REF!</definedName>
    <definedName function="false" hidden="false" name="tio" vbProcedure="false">#REF!</definedName>
    <definedName function="false" hidden="false" name="Total_Interest" vbProcedure="false">#REF!</definedName>
    <definedName function="false" hidden="false" name="Total_Pay" vbProcedure="false">#REF!</definedName>
    <definedName function="false" hidden="false" name="Total_Payment" vbProcedure="false">scheduled_payment+extra_payment</definedName>
    <definedName function="false" hidden="false" name="TRO" vbProcedure="false">#REF!</definedName>
    <definedName function="false" hidden="false" name="trtran" vbProcedure="false">#REF!</definedName>
    <definedName function="false" hidden="false" name="TRTRANREC" vbProcedure="false">#REF!</definedName>
    <definedName function="false" hidden="false" name="tt" vbProcedure="false">#REF!</definedName>
    <definedName function="false" hidden="false" name="TTT" vbProcedure="false">#REF!</definedName>
    <definedName function="false" hidden="false" name="tttt" vbProcedure="false">#REF!</definedName>
    <definedName function="false" hidden="false" name="UAE" vbProcedure="false">#REF!</definedName>
    <definedName function="false" hidden="false" name="unnjnu" vbProcedure="false">#N/A</definedName>
    <definedName function="false" hidden="false" name="upu" vbProcedure="false">#N/A</definedName>
    <definedName function="false" hidden="false" name="USA" vbProcedure="false">#REF!</definedName>
    <definedName function="false" hidden="false" name="usdcum" vbProcedure="false">#REF!</definedName>
    <definedName function="false" hidden="false" name="usdcumnoa" vbProcedure="false">#REF!</definedName>
    <definedName function="false" hidden="false" name="uu" vbProcedure="false">#N/A</definedName>
    <definedName function="false" hidden="false" name="Values_Entered" vbProcedure="false">IF(Loan_Amount*Interest_Rate*Loan_Years*Loan_Start&gt;0,1,0)</definedName>
    <definedName function="false" hidden="false" name="Value_ARPopulation" vbProcedure="false">#REF!</definedName>
    <definedName function="false" hidden="false" name="Value_LevelAssurance" vbProcedure="false">#REF!</definedName>
    <definedName function="false" hidden="false" name="Value_NumberExceptionsIdentified" vbProcedure="false">#REF!</definedName>
    <definedName function="false" hidden="false" name="Value_NumberTolerableExceptions" vbProcedure="false">#REF!</definedName>
    <definedName function="false" hidden="false" name="vcl" vbProcedure="false">#REF!</definedName>
    <definedName function="false" hidden="false" name="vs" vbProcedure="false">#REF!</definedName>
    <definedName function="false" hidden="false" name="vsa" vbProcedure="false">#REF!</definedName>
    <definedName function="false" hidden="false" name="vsc" vbProcedure="false">#REF!</definedName>
    <definedName function="false" hidden="false" name="vsj" vbProcedure="false">#REF!</definedName>
    <definedName function="false" hidden="false" name="vss" vbProcedure="false">#REF!</definedName>
    <definedName function="false" hidden="false" name="vv" vbProcedure="false">#REF!</definedName>
    <definedName function="false" hidden="false" name="vvf" vbProcedure="false">#N/A</definedName>
    <definedName function="false" hidden="false" name="vvv" vbProcedure="false">#REF!</definedName>
    <definedName function="false" hidden="false" name="waasique" vbProcedure="false">#REF!</definedName>
    <definedName function="false" hidden="false" name="wcccccc" vbProcedure="false">scheduled_payment+extra_payment</definedName>
    <definedName function="false" hidden="false" name="wdd\" vbProcedure="false">#N/A</definedName>
    <definedName function="false" hidden="false" name="werf" vbProcedure="false">DATE(YEAR(Loan_Start),MONTH(Loan_Start)+payment_number,DAY(Loan_Start))</definedName>
    <definedName function="false" hidden="false" name="Whwork" vbProcedure="false">#REF!,#REF!</definedName>
    <definedName function="false" hidden="false" name="WIP" vbProcedure="false">#REF!</definedName>
    <definedName function="false" hidden="false" name="woeuefhuws" vbProcedure="false">#REF!</definedName>
    <definedName function="false" hidden="false" name="workings" vbProcedure="false">#REF!</definedName>
    <definedName function="false" hidden="false" name="Working_Actual" vbProcedure="false">#REF!</definedName>
    <definedName function="false" hidden="false" name="Working_Budget" vbProcedure="false">#REF!</definedName>
    <definedName function="false" hidden="false" name="Working_Last_Year" vbProcedure="false">#REF!</definedName>
    <definedName function="false" hidden="false" name="ww" vbProcedure="false">#REF!</definedName>
    <definedName function="false" hidden="false" name="www" vbProcedure="false">#REF!</definedName>
    <definedName function="false" hidden="false" name="xyz" vbProcedure="false">#N/A</definedName>
    <definedName function="false" hidden="false" name="zzz" vbProcedure="false">#REF!</definedName>
    <definedName function="false" hidden="false" name="\a" vbProcedure="false">#REF!</definedName>
    <definedName function="false" hidden="false" name="\cage" vbProcedure="false">#REF!</definedName>
    <definedName function="false" hidden="false" name="\d" vbProcedure="false">#REF!</definedName>
    <definedName function="false" hidden="false" name="\i" vbProcedure="false">#REF!</definedName>
    <definedName function="false" hidden="false" name="\P" vbProcedure="false">#REF!</definedName>
    <definedName function="false" hidden="false" name="\S" vbProcedure="false">#REF!</definedName>
    <definedName function="false" hidden="false" name="_206_172" vbProcedure="false">#REF!</definedName>
    <definedName function="false" hidden="false" name="_206_192" vbProcedure="false">#REF!</definedName>
    <definedName function="false" hidden="false" name="_209_591" vbProcedure="false">#REF!</definedName>
    <definedName function="false" hidden="false" name="_209_624" vbProcedure="false">#REF!</definedName>
    <definedName function="false" hidden="false" name="_209_845" vbProcedure="false">#REF!</definedName>
    <definedName function="false" hidden="false" name="_209_918" vbProcedure="false">#REF!</definedName>
    <definedName function="false" hidden="false" name="_210A573" vbProcedure="false">#REF!</definedName>
    <definedName function="false" hidden="false" name="_210_573" vbProcedure="false">#REF!</definedName>
    <definedName function="false" hidden="false" name="_217A428" vbProcedure="false">#REF!</definedName>
    <definedName function="false" hidden="false" name="_217A718" vbProcedure="false">#REF!</definedName>
    <definedName function="false" hidden="false" name="_217A858" vbProcedure="false">#REF!</definedName>
    <definedName function="false" hidden="false" name="_217B428" vbProcedure="false">#REF!</definedName>
    <definedName function="false" hidden="false" name="_217_428" vbProcedure="false">#REF!</definedName>
    <definedName function="false" hidden="false" name="_217_718" vbProcedure="false">#REF!</definedName>
    <definedName function="false" hidden="false" name="_217_858" vbProcedure="false">#REF!</definedName>
    <definedName function="false" hidden="false" name="_217_987" vbProcedure="false">#REF!</definedName>
    <definedName function="false" hidden="false" name="_237A142" vbProcedure="false">#REF!</definedName>
    <definedName function="false" hidden="false" name="_237_142" vbProcedure="false">#REF!</definedName>
    <definedName function="false" hidden="false" name="_ACC0320" vbProcedure="false">#REF!</definedName>
    <definedName function="false" hidden="false" name="_avg6" vbProcedure="false">#REF!</definedName>
    <definedName function="false" hidden="false" name="_BAL0320" vbProcedure="false">#REF!</definedName>
    <definedName function="false" hidden="false" name="_BAL0344" vbProcedure="false">#REF!</definedName>
    <definedName function="false" hidden="false" name="_BAL0348" vbProcedure="false">#REF!</definedName>
    <definedName function="false" hidden="false" name="_BAL0360" vbProcedure="false">#REF!</definedName>
    <definedName function="false" hidden="false" name="_BAL0361" vbProcedure="false">#REF!</definedName>
    <definedName function="false" hidden="false" name="_BAL0367" vbProcedure="false">#REF!</definedName>
    <definedName function="false" hidden="false" name="_BAL0370" vbProcedure="false">#REF!</definedName>
    <definedName function="false" hidden="false" name="_BAL0375" vbProcedure="false">#REF!</definedName>
    <definedName function="false" hidden="false" name="_BAL0384" vbProcedure="false">#REF!</definedName>
    <definedName function="false" hidden="false" name="_BAL0385" vbProcedure="false">#REF!</definedName>
    <definedName function="false" hidden="false" name="_BAL0386" vbProcedure="false">#REF!</definedName>
    <definedName function="false" hidden="false" name="_BAL0387" vbProcedure="false">#REF!</definedName>
    <definedName function="false" hidden="false" name="_BAL0388" vbProcedure="false">#REF!</definedName>
    <definedName function="false" hidden="false" name="_BAL0395" vbProcedure="false">#REF!</definedName>
    <definedName function="false" hidden="false" name="_bal0397" vbProcedure="false">#REF!</definedName>
    <definedName function="false" hidden="false" name="_BAL0399" vbProcedure="false">#REF!</definedName>
    <definedName function="false" hidden="false" name="_BAL0400" vbProcedure="false">#REF!</definedName>
    <definedName function="false" hidden="false" name="_BAL0810" vbProcedure="false">#REF!</definedName>
    <definedName function="false" hidden="false" name="_BAL0811" vbProcedure="false">#REF!</definedName>
    <definedName function="false" hidden="false" name="_BAL0815" vbProcedure="false">#REF!</definedName>
    <definedName function="false" hidden="false" name="_BAL6791" vbProcedure="false">#REF!</definedName>
    <definedName function="false" hidden="false" name="_BLA0811" vbProcedure="false">#REF!</definedName>
    <definedName function="false" hidden="false" name="_DAT10" vbProcedure="false">#REF!</definedName>
    <definedName function="false" hidden="true" name="_Fill" vbProcedure="false">#REF!</definedName>
    <definedName function="false" hidden="false" name="_ita01" vbProcedure="false">#REF!</definedName>
    <definedName function="false" hidden="true" name="_Key1" vbProcedure="false">#REF!</definedName>
    <definedName function="false" hidden="true" name="_Key2" vbProcedure="false">#REF!</definedName>
    <definedName function="false" hidden="false" name="_lb01" vbProcedure="false">#REF!</definedName>
    <definedName function="false" hidden="true" name="_Order1" vbProcedure="false">0</definedName>
    <definedName function="false" hidden="true" name="_Order2" vbProcedure="false">0</definedName>
    <definedName function="false" hidden="false" name="_PHS1" vbProcedure="false">#REF!</definedName>
    <definedName function="false" hidden="false" name="_PHS3" vbProcedure="false">#N/A</definedName>
    <definedName function="false" hidden="false" name="_PPE1" vbProcedure="false">#REF!</definedName>
    <definedName function="false" hidden="true" name="_Sort" vbProcedure="false">#REF!</definedName>
    <definedName function="false" hidden="false" name="_til01" vbProcedure="false">#REF!</definedName>
    <definedName function="false" hidden="false" name="_uk01" vbProcedure="false">#REF!</definedName>
    <definedName function="false" hidden="false" name="_vsc01" vbProcedure="false">#REF!</definedName>
    <definedName function="false" hidden="false" name="_vss01" vbProcedure="false">#REF!</definedName>
    <definedName function="false" hidden="false" name="_xlnm.Recorder" vbProcedure="false">#REF!</definedName>
    <definedName function="false" hidden="false" name="__avg6" vbProcedure="false">#REF!</definedName>
    <definedName function="false" hidden="false" name="__DAT10" vbProcedure="false">#REF!</definedName>
    <definedName function="false" hidden="false" name="__DAT7" vbProcedure="false">#REF!</definedName>
    <definedName function="false" hidden="true" name="__IntlFixup" vbProcedure="false">TRUE()</definedName>
    <definedName function="false" hidden="false" name="__ita01" vbProcedure="false">#REF!</definedName>
    <definedName function="false" hidden="false" name="__lb01" vbProcedure="false">#REF!</definedName>
    <definedName function="false" hidden="false" name="__PPE1" vbProcedure="false">#REF!</definedName>
    <definedName function="false" hidden="false" name="__til01" vbProcedure="false">#REF!</definedName>
    <definedName function="false" hidden="false" name="__uk01" vbProcedure="false">#REF!</definedName>
    <definedName function="false" hidden="false" name="__vsc01" vbProcedure="false">#REF!</definedName>
    <definedName function="false" hidden="false" name="__vss01" vbProcedure="false">#REF!</definedName>
    <definedName function="false" hidden="false" name="__xlnm.Print_Area_1" vbProcedure="false">#REF!</definedName>
    <definedName function="false" hidden="false" localSheetId="5" name="AAA" vbProcedure="false">#REF!</definedName>
    <definedName function="false" hidden="false" localSheetId="5" name="ab" vbProcedure="false">#REF!</definedName>
    <definedName function="false" hidden="false" localSheetId="5" name="accounting" vbProcedure="false">#REF!</definedName>
    <definedName function="false" hidden="false" localSheetId="5" name="Acc_List" vbProcedure="false">#REF!</definedName>
    <definedName function="false" hidden="false" localSheetId="5" name="Acc_List_II" vbProcedure="false">#REF!</definedName>
    <definedName function="false" hidden="false" localSheetId="5" name="Act_Date" vbProcedure="false">#REF!</definedName>
    <definedName function="false" hidden="false" localSheetId="5" name="Act_FullScreen" vbProcedure="false">#REF!</definedName>
    <definedName function="false" hidden="false" localSheetId="5" name="Act_It" vbProcedure="false">#REF!</definedName>
    <definedName function="false" hidden="false" localSheetId="5" name="Act_Name" vbProcedure="false">#REF!</definedName>
    <definedName function="false" hidden="false" localSheetId="5" name="Act_Obj" vbProcedure="false">#REF!</definedName>
    <definedName function="false" hidden="false" localSheetId="5" name="Act_Obj_Accuracy" vbProcedure="false">#REF!</definedName>
    <definedName function="false" hidden="false" localSheetId="5" name="Act_Obj_Comp" vbProcedure="false">#REF!</definedName>
    <definedName function="false" hidden="false" localSheetId="5" name="Act_Obj_Existence" vbProcedure="false">#REF!</definedName>
    <definedName function="false" hidden="false" localSheetId="5" name="Act_Obj_PwC_Example" vbProcedure="false">#REF!</definedName>
    <definedName function="false" hidden="false" localSheetId="5" name="Act_PM" vbProcedure="false">#REF!</definedName>
    <definedName function="false" hidden="false" localSheetId="5" name="Act_Total" vbProcedure="false">#REF!</definedName>
    <definedName function="false" hidden="false" localSheetId="5" name="agdump" vbProcedure="false">#REF!</definedName>
    <definedName function="false" hidden="false" localSheetId="5" name="agedump" vbProcedure="false">#REF!</definedName>
    <definedName function="false" hidden="false" localSheetId="5" name="agencydump" vbProcedure="false">#REF!</definedName>
    <definedName function="false" hidden="false" localSheetId="5" name="AGENCYLY" vbProcedure="false">#REF!</definedName>
    <definedName function="false" hidden="false" localSheetId="5" name="AGENCYPLAN" vbProcedure="false">#REF!</definedName>
    <definedName function="false" hidden="false" localSheetId="5" name="APROV" vbProcedure="false">#REF!</definedName>
    <definedName function="false" hidden="false" localSheetId="5" name="AR_Account_Name" vbProcedure="false">#REF!</definedName>
    <definedName function="false" hidden="false" localSheetId="5" name="AR_Approp_Complete" vbProcedure="false">#REF!</definedName>
    <definedName function="false" hidden="false" localSheetId="5" name="AR_Audit_Date" vbProcedure="false">#REF!</definedName>
    <definedName function="false" hidden="false" localSheetId="5" name="AR_Client_Name" vbProcedure="false">#REF!</definedName>
    <definedName function="false" hidden="false" localSheetId="5" name="AR_Define_Exceptions" vbProcedure="false">#REF!</definedName>
    <definedName function="false" hidden="false" localSheetId="5" name="AR_Evaluation_Doc" vbProcedure="false">#REF!</definedName>
    <definedName function="false" hidden="false" localSheetId="5" name="AR_Expand" vbProcedure="false">#REF!</definedName>
    <definedName function="false" hidden="false" localSheetId="5" name="AR_Level_Ass" vbProcedure="false">#REF!</definedName>
    <definedName function="false" hidden="false" localSheetId="5" name="AR_Num_Excep_Id" vbProcedure="false">#REF!</definedName>
    <definedName function="false" hidden="false" localSheetId="5" name="AR_Pop" vbProcedure="false">#REF!</definedName>
    <definedName function="false" hidden="false" localSheetId="5" name="AR_Reference_work_summarize" vbProcedure="false">#REF!</definedName>
    <definedName function="false" hidden="false" localSheetId="5" name="AR_Report_name" vbProcedure="false">#REF!</definedName>
    <definedName function="false" hidden="false" localSheetId="5" name="AR_Selection_Method" vbProcedure="false">#REF!</definedName>
    <definedName function="false" hidden="false" localSheetId="5" name="AR_Sel_Meth" vbProcedure="false">#REF!</definedName>
    <definedName function="false" hidden="false" localSheetId="5" name="AR_Testing_unit" vbProcedure="false">#REF!</definedName>
    <definedName function="false" hidden="false" localSheetId="5" name="AR_Test_Descrip" vbProcedure="false">#REF!</definedName>
    <definedName function="false" hidden="false" localSheetId="5" name="AR_Tol_Excep" vbProcedure="false">#REF!</definedName>
    <definedName function="false" hidden="false" localSheetId="5" name="as" vbProcedure="false">#REF!</definedName>
    <definedName function="false" hidden="false" localSheetId="5" name="asdfg" vbProcedure="false">#REF!</definedName>
    <definedName function="false" hidden="false" localSheetId="5" name="asdfghj" vbProcedure="false">#REF!</definedName>
    <definedName function="false" hidden="false" localSheetId="5" name="att" vbProcedure="false">#REF!</definedName>
    <definedName function="false" hidden="false" localSheetId="5" name="AU_329" vbProcedure="false">#REF!</definedName>
    <definedName function="false" hidden="false" localSheetId="5" name="AWCONTS" vbProcedure="false">#REF!</definedName>
    <definedName function="false" hidden="false" localSheetId="5" name="Baha" vbProcedure="false">#REF!</definedName>
    <definedName function="false" hidden="false" localSheetId="5" name="BAL03955555" vbProcedure="false">#REF!</definedName>
    <definedName function="false" hidden="false" localSheetId="5" name="Balance_Sheet" vbProcedure="false">#REF!</definedName>
    <definedName function="false" hidden="false" localSheetId="5" name="bang" vbProcedure="false">#REF!</definedName>
    <definedName function="false" hidden="false" localSheetId="5" name="BCNXT152153" vbProcedure="false">#REF!</definedName>
    <definedName function="false" hidden="false" localSheetId="5" name="BCNXT155156" vbProcedure="false">#REF!</definedName>
    <definedName function="false" hidden="false" localSheetId="5" name="Beg_Bal" vbProcedure="false">#REF!</definedName>
    <definedName function="false" hidden="false" localSheetId="5" name="bms" vbProcedure="false">#REF!</definedName>
    <definedName function="false" hidden="false" localSheetId="5" name="bn" vbProcedure="false">#REF!</definedName>
    <definedName function="false" hidden="false" localSheetId="5" name="BPROV" vbProcedure="false">#REF!</definedName>
    <definedName function="false" hidden="false" localSheetId="5" name="bscum" vbProcedure="false">#REF!</definedName>
    <definedName function="false" hidden="false" localSheetId="5" name="bsinr" vbProcedure="false">#REF!</definedName>
    <definedName function="false" hidden="false" localSheetId="5" name="bsusd" vbProcedure="false">#REF!</definedName>
    <definedName function="false" hidden="false" localSheetId="5" name="BudgetSeason" vbProcedure="false">#REF!</definedName>
    <definedName function="false" hidden="false" localSheetId="5" name="budmain" vbProcedure="false">#REF!</definedName>
    <definedName function="false" hidden="false" localSheetId="5" name="BUDSALES" vbProcedure="false">#REF!</definedName>
    <definedName function="false" hidden="false" localSheetId="5" name="button_area_1" vbProcedure="false">#REF!</definedName>
    <definedName function="false" hidden="false" localSheetId="5" name="buyothacc" vbProcedure="false">#REF!</definedName>
    <definedName function="false" hidden="false" localSheetId="5" name="cac" vbProcedure="false">#REF!</definedName>
    <definedName function="false" hidden="false" localSheetId="5" name="CalcAgencyPrice" vbProcedure="false">#REF!</definedName>
    <definedName function="false" hidden="false" localSheetId="5" name="Calculated_Number_of_Items_to_Test" vbProcedure="false">#REF!</definedName>
    <definedName function="false" hidden="false" localSheetId="5" name="CAN" vbProcedure="false">#REF!</definedName>
    <definedName function="false" hidden="false" localSheetId="5" name="Can_testing_be_expanded?" vbProcedure="false">#REF!</definedName>
    <definedName function="false" hidden="false" localSheetId="5" name="cash" vbProcedure="false">#REF!</definedName>
    <definedName function="false" hidden="false" localSheetId="5" name="Cashflow" vbProcedure="false">#REF!</definedName>
    <definedName function="false" hidden="false" localSheetId="5" name="catacc" vbProcedure="false">#REF!</definedName>
    <definedName function="false" hidden="false" localSheetId="5" name="ccc" vbProcedure="false">#REF!</definedName>
    <definedName function="false" hidden="false" localSheetId="5" name="CCE" vbProcedure="false">#REF!</definedName>
    <definedName function="false" hidden="false" localSheetId="5" name="celltips_area" vbProcedure="false">#REF!</definedName>
    <definedName function="false" hidden="false" localSheetId="5" name="cha" vbProcedure="false">#REF!</definedName>
    <definedName function="false" hidden="false" localSheetId="5" name="cj" vbProcedure="false">#REF!</definedName>
    <definedName function="false" hidden="false" localSheetId="5" name="Client_Name" vbProcedure="false">#REF!</definedName>
    <definedName function="false" hidden="false" localSheetId="5" name="CNKH131" vbProcedure="false">#REF!</definedName>
    <definedName function="false" hidden="false" localSheetId="5" name="CNKH331" vbProcedure="false">#REF!</definedName>
    <definedName function="false" hidden="false" localSheetId="5" name="code" vbProcedure="false">#REF!</definedName>
    <definedName function="false" hidden="false" localSheetId="5" name="cofother" vbProcedure="false">#REF!,#REF!,#REF!,#REF!,#REF!,#REF!,#REF!,#REF!</definedName>
    <definedName function="false" hidden="false" localSheetId="5" name="Commission" vbProcedure="false">#REF!</definedName>
    <definedName function="false" hidden="false" localSheetId="5" name="CommPrint" vbProcedure="false">#REF!</definedName>
    <definedName function="false" hidden="false" localSheetId="5" name="COMPDATE" vbProcedure="false">TEXT(comparative_period,"d mmmm yyyy")</definedName>
    <definedName function="false" hidden="false" localSheetId="5" name="COMPSHORT" vbProcedure="false">TEXT(comparative_period,"d mmm yyyy")</definedName>
    <definedName function="false" hidden="false" localSheetId="5" name="cor" vbProcedure="false">#REF!</definedName>
    <definedName function="false" hidden="false" localSheetId="5" name="CUM" vbProcedure="false">#REF!</definedName>
    <definedName function="false" hidden="false" localSheetId="5" name="CUMTI" vbProcedure="false">#REF!</definedName>
    <definedName function="false" hidden="false" localSheetId="5" name="CURRDATE" vbProcedure="false">TEXT(current_period,"d mmmm yyyy")</definedName>
    <definedName function="false" hidden="false" localSheetId="5" name="CURRDAY" vbProcedure="false">TEXT(current_period,"d mmmm")</definedName>
    <definedName function="false" hidden="false" localSheetId="5" name="CURRSHORT" vbProcedure="false">TEXT(current_period,"d mmm yyyy")</definedName>
    <definedName function="false" hidden="false" localSheetId="5" name="C_" vbProcedure="false">#REF!</definedName>
    <definedName function="false" hidden="false" localSheetId="5" name="DaRWk1" vbProcedure="false">#REF!</definedName>
    <definedName function="false" hidden="false" localSheetId="5" name="DaRWk10" vbProcedure="false">#REF!</definedName>
    <definedName function="false" hidden="false" localSheetId="5" name="DaRWk11" vbProcedure="false">#REF!</definedName>
    <definedName function="false" hidden="false" localSheetId="5" name="DaRWk12" vbProcedure="false">#REF!</definedName>
    <definedName function="false" hidden="false" localSheetId="5" name="DaRWk2" vbProcedure="false">#REF!</definedName>
    <definedName function="false" hidden="false" localSheetId="5" name="DaRWk3" vbProcedure="false">#REF!</definedName>
    <definedName function="false" hidden="false" localSheetId="5" name="DaRWk4" vbProcedure="false">#REF!</definedName>
    <definedName function="false" hidden="false" localSheetId="5" name="DaRWk5" vbProcedure="false">#REF!</definedName>
    <definedName function="false" hidden="false" localSheetId="5" name="DaRWk6" vbProcedure="false">#REF!</definedName>
    <definedName function="false" hidden="false" localSheetId="5" name="DaRWk8" vbProcedure="false">#REF!</definedName>
    <definedName function="false" hidden="false" localSheetId="5" name="DaRwk9" vbProcedure="false">#REF!</definedName>
    <definedName function="false" hidden="false" localSheetId="5" name="Database_MI" vbProcedure="false">#REF!</definedName>
    <definedName function="false" hidden="false" localSheetId="5" name="DATE" vbProcedure="false">#REF!</definedName>
    <definedName function="false" hidden="false" localSheetId="5" name="DATES" vbProcedure="false">#REF!</definedName>
    <definedName function="false" hidden="false" localSheetId="5" name="DaWk7" vbProcedure="false">#REF!</definedName>
    <definedName function="false" hidden="false" localSheetId="5" name="dbdate" vbProcedure="false">#REF!</definedName>
    <definedName function="false" hidden="false" localSheetId="5" name="dbrwk1" vbProcedure="false">#REF!</definedName>
    <definedName function="false" hidden="false" localSheetId="5" name="dbrwk10" vbProcedure="false">#REF!</definedName>
    <definedName function="false" hidden="false" localSheetId="5" name="dbrwk11" vbProcedure="false">#REF!</definedName>
    <definedName function="false" hidden="false" localSheetId="5" name="dbrwk12" vbProcedure="false">#REF!</definedName>
    <definedName function="false" hidden="false" localSheetId="5" name="dbrwk2" vbProcedure="false">#REF!</definedName>
    <definedName function="false" hidden="false" localSheetId="5" name="dbrwk3" vbProcedure="false">#REF!</definedName>
    <definedName function="false" hidden="false" localSheetId="5" name="dbrwk4" vbProcedure="false">#REF!</definedName>
    <definedName function="false" hidden="false" localSheetId="5" name="dbrwk5" vbProcedure="false">#REF!</definedName>
    <definedName function="false" hidden="false" localSheetId="5" name="dbrwk6" vbProcedure="false">#REF!</definedName>
    <definedName function="false" hidden="false" localSheetId="5" name="dbrwk7" vbProcedure="false">#REF!</definedName>
    <definedName function="false" hidden="false" localSheetId="5" name="dbrwk8" vbProcedure="false">#REF!</definedName>
    <definedName function="false" hidden="false" localSheetId="5" name="dbrwk9" vbProcedure="false">#REF!</definedName>
    <definedName function="false" hidden="false" localSheetId="5" name="dcrwk1" vbProcedure="false">#REF!</definedName>
    <definedName function="false" hidden="false" localSheetId="5" name="dcrwk10" vbProcedure="false">#REF!</definedName>
    <definedName function="false" hidden="false" localSheetId="5" name="dcrwk11" vbProcedure="false">#REF!</definedName>
    <definedName function="false" hidden="false" localSheetId="5" name="dcrwk12" vbProcedure="false">#REF!</definedName>
    <definedName function="false" hidden="false" localSheetId="5" name="dcrwk2" vbProcedure="false">#REF!</definedName>
    <definedName function="false" hidden="false" localSheetId="5" name="dcrwk3" vbProcedure="false">#REF!</definedName>
    <definedName function="false" hidden="false" localSheetId="5" name="dcrwk4" vbProcedure="false">#REF!</definedName>
    <definedName function="false" hidden="false" localSheetId="5" name="dcrwk5" vbProcedure="false">#REF!</definedName>
    <definedName function="false" hidden="false" localSheetId="5" name="dcrwk6" vbProcedure="false">#REF!</definedName>
    <definedName function="false" hidden="false" localSheetId="5" name="dcrwk7" vbProcedure="false">#REF!</definedName>
    <definedName function="false" hidden="false" localSheetId="5" name="dcrwk8" vbProcedure="false">#REF!</definedName>
    <definedName function="false" hidden="false" localSheetId="5" name="dcrwk9" vbProcedure="false">#REF!</definedName>
    <definedName function="false" hidden="false" localSheetId="5" name="DelDC" vbProcedure="false">#REF!</definedName>
    <definedName function="false" hidden="false" localSheetId="5" name="DelDm" vbProcedure="false">#REF!</definedName>
    <definedName function="false" hidden="false" localSheetId="5" name="Delivery" vbProcedure="false">#REF!</definedName>
    <definedName function="false" hidden="false" localSheetId="5" name="DelType" vbProcedure="false">#REF!</definedName>
    <definedName function="false" hidden="false" localSheetId="5" name="deptLookup" vbProcedure="false">#REF!</definedName>
    <definedName function="false" hidden="false" localSheetId="5" name="dhdhd" vbProcedure="false">#REF!</definedName>
    <definedName function="false" hidden="false" localSheetId="5" name="ditinvacc" vbProcedure="false">#REF!</definedName>
    <definedName function="false" hidden="false" localSheetId="5" name="DIVREC" vbProcedure="false">#REF!</definedName>
    <definedName function="false" hidden="false" localSheetId="5" name="DJ" vbProcedure="false">#REF!</definedName>
    <definedName function="false" hidden="false" localSheetId="5" name="DOVEACC" vbProcedure="false">#REF!</definedName>
    <definedName function="false" hidden="false" localSheetId="5" name="DUB" vbProcedure="false">#REF!</definedName>
    <definedName function="false" hidden="false" localSheetId="5" name="dumppr" vbProcedure="false">#REF!</definedName>
    <definedName function="false" hidden="false" localSheetId="5" name="dutyacc" vbProcedure="false">#REF!</definedName>
    <definedName function="false" hidden="false" localSheetId="5" name="DUTYACCCALC" vbProcedure="false">#REF!</definedName>
    <definedName function="false" hidden="false" localSheetId="5" name="ee" vbProcedure="false">#REF!</definedName>
    <definedName function="false" hidden="false" localSheetId="5" name="eeeeed" vbProcedure="false">DATE(YEAR('Master Yield summary '!Loan_Start),MONTH('Master Yield summary '!Loan_Start)+payment_number,DAY('Master Yield summary '!Loan_Start))</definedName>
    <definedName function="false" hidden="false" localSheetId="5" name="Loan_Start" vbProcedure="false">#REF!</definedName>
    <definedName function="false" hidden="false" localSheetId="5" name="End_Bal" vbProcedure="false">#REF!</definedName>
    <definedName function="false" hidden="false" localSheetId="5" name="Enter_Number_of_Items_Actually_Tested" vbProcedure="false">#REF!</definedName>
    <definedName function="false" hidden="false" localSheetId="5" name="era" vbProcedure="false">#REF!</definedName>
    <definedName function="false" hidden="false" localSheetId="5" name="Err_Add_Plus10" vbProcedure="false">#REF!</definedName>
    <definedName function="false" hidden="false" localSheetId="5" name="Err_Box_AddSamp" vbProcedure="false">#REF!</definedName>
    <definedName function="false" hidden="false" localSheetId="5" name="Err_Box_Rej" vbProcedure="false">#REF!</definedName>
    <definedName function="false" hidden="false" localSheetId="5" name="Err_CellComments" vbProcedure="false">#REF!</definedName>
    <definedName function="false" hidden="false" localSheetId="5" name="Err_Date_Check" vbProcedure="false">#REF!</definedName>
    <definedName function="false" hidden="false" localSheetId="5" name="Err_Date_Numb" vbProcedure="false">#REF!</definedName>
    <definedName function="false" hidden="false" localSheetId="5" name="Err_Date_Today" vbProcedure="false">#REF!</definedName>
    <definedName function="false" hidden="false" localSheetId="5" name="Err_Empty" vbProcedure="false">#REF!</definedName>
    <definedName function="false" hidden="false" localSheetId="5" name="Err_Eval_Blank" vbProcedure="false">#REF!</definedName>
    <definedName function="false" hidden="false" localSheetId="5" name="Err_Fail_Verbiage" vbProcedure="false">#REF!</definedName>
    <definedName function="false" hidden="false" localSheetId="5" name="Err_InfoCheck" vbProcedure="false">#REF!</definedName>
    <definedName function="false" hidden="false" localSheetId="5" name="Err_NotesBox" vbProcedure="false">#REF!</definedName>
    <definedName function="false" hidden="false" localSheetId="5" name="Err_Random" vbProcedure="false">#REF!</definedName>
    <definedName function="false" hidden="false" localSheetId="5" name="Err_Rand_1" vbProcedure="false">#REF!</definedName>
    <definedName function="false" hidden="false" localSheetId="5" name="Err_SampErr" vbProcedure="false">#REF!</definedName>
    <definedName function="false" hidden="false" localSheetId="5" name="Err_StopCode" vbProcedure="false">#REF!</definedName>
    <definedName function="false" hidden="false" localSheetId="5" name="Eval_btn" vbProcedure="false">#REF!</definedName>
    <definedName function="false" hidden="false" localSheetId="5" name="Eval_btn_Ans" vbProcedure="false">#REF!</definedName>
    <definedName function="false" hidden="false" localSheetId="5" name="Eval_MR" vbProcedure="false">#REF!</definedName>
    <definedName function="false" hidden="false" localSheetId="5" name="Eval_Targ_T" vbProcedure="false">#REF!</definedName>
    <definedName function="false" hidden="false" localSheetId="5" name="Eval_Text" vbProcedure="false">#REF!</definedName>
    <definedName function="false" hidden="false" localSheetId="5" name="Eval_TM" vbProcedure="false">#REF!</definedName>
    <definedName function="false" hidden="false" localSheetId="5" name="Eval_TTMR" vbProcedure="false">#REF!</definedName>
    <definedName function="false" hidden="false" localSheetId="5" name="Excel_BuiltIn_Database" vbProcedure="false">#REF!</definedName>
    <definedName function="false" hidden="false" localSheetId="5" name="Excel_BuiltIn_Print_Area_1" vbProcedure="false">#REF!</definedName>
    <definedName function="false" hidden="false" localSheetId="5" name="Excel_BuiltIn_Print_Area_11" vbProcedure="false">#REF!</definedName>
    <definedName function="false" hidden="false" localSheetId="5" name="Excel_BuiltIn_Print_Area_3" vbProcedure="false">#REF!</definedName>
    <definedName function="false" hidden="false" localSheetId="5" name="Excel_BuiltIn_Print_Area_4_1" vbProcedure="false">#REF!</definedName>
    <definedName function="false" hidden="false" localSheetId="5" name="Exchange_Loss" vbProcedure="false">#REF!</definedName>
    <definedName function="false" hidden="false" localSheetId="5" name="Exports" vbProcedure="false">#REF!</definedName>
    <definedName function="false" hidden="false" localSheetId="5" name="Extra_Pay" vbProcedure="false">#REF!</definedName>
    <definedName function="false" hidden="false" localSheetId="5" name="F30\" vbProcedure="false">#REF!</definedName>
    <definedName function="false" hidden="false" localSheetId="5" name="FACE" vbProcedure="false">#REF!</definedName>
    <definedName function="false" hidden="false" localSheetId="5" name="fff" vbProcedure="false">#REF!</definedName>
    <definedName function="false" hidden="false" localSheetId="5" name="fg" vbProcedure="false">#REF!</definedName>
    <definedName function="false" hidden="false" localSheetId="5" name="fin" vbProcedure="false">#REF!</definedName>
    <definedName function="false" hidden="false" localSheetId="5" name="Finance" vbProcedure="false">#REF!</definedName>
    <definedName function="false" hidden="false" localSheetId="5" name="FIRSTDATE" vbProcedure="false">TEXT(comparative_period+1,"d mmmm yyyy")</definedName>
    <definedName function="false" hidden="false" localSheetId="5" name="FIRSTDAY" vbProcedure="false">TEXT(comparative_period+1,"d mmmm")</definedName>
    <definedName function="false" hidden="false" localSheetId="5" name="FIRSTSHORT" vbProcedure="false">TEXT(comparative_period+1,"d mmm yyyy")</definedName>
    <definedName function="false" hidden="false" localSheetId="5" name="Full_Print" vbProcedure="false">#REF!</definedName>
    <definedName function="false" hidden="false" localSheetId="5" name="gac" vbProcedure="false">#REF!</definedName>
    <definedName function="false" hidden="false" localSheetId="5" name="Gan" vbProcedure="false">#REF!</definedName>
    <definedName function="false" hidden="false" localSheetId="5" name="GF" vbProcedure="false">#REF!</definedName>
    <definedName function="false" hidden="false" localSheetId="5" name="GrphActSales" vbProcedure="false">#REF!</definedName>
    <definedName function="false" hidden="false" localSheetId="5" name="GrphActStk" vbProcedure="false">#REF!</definedName>
    <definedName function="false" hidden="false" localSheetId="5" name="GrphPlanSales" vbProcedure="false">#REF!</definedName>
    <definedName function="false" hidden="false" localSheetId="5" name="GrphTgtStk" vbProcedure="false">#REF!</definedName>
    <definedName function="false" hidden="false" localSheetId="5" name="GSTLP" vbProcedure="false">#REF!</definedName>
    <definedName function="false" hidden="false" localSheetId="5" name="gstlr" vbProcedure="false">#REF!</definedName>
    <definedName function="false" hidden="false" localSheetId="5" name="Header_Row" vbProcedure="false">ROW(#REF!)</definedName>
    <definedName function="false" hidden="false" localSheetId="5" name="heading" vbProcedure="false">#REF!</definedName>
    <definedName function="false" hidden="false" localSheetId="5" name="hhh" vbProcedure="false">#REF!</definedName>
    <definedName function="false" hidden="false" localSheetId="5" name="HOBS2" vbProcedure="false">#REF!</definedName>
    <definedName function="false" hidden="false" localSheetId="5" name="idcprov" vbProcedure="false">#REF!</definedName>
    <definedName function="false" hidden="false" localSheetId="5" name="IELWSALES" vbProcedure="false">#REF!</definedName>
    <definedName function="false" hidden="false" localSheetId="5" name="IELYSALES" vbProcedure="false">#REF!</definedName>
    <definedName function="false" hidden="false" localSheetId="5" name="IEPLANSALES" vbProcedure="false">#REF!</definedName>
    <definedName function="false" hidden="false" localSheetId="5" name="IESP" vbProcedure="false">#REF!</definedName>
    <definedName function="false" hidden="false" localSheetId="5" name="in" vbProcedure="false">#REF!</definedName>
    <definedName function="false" hidden="false" localSheetId="5" name="INDI" vbProcedure="false">#REF!</definedName>
    <definedName function="false" hidden="false" localSheetId="5" name="Int" vbProcedure="false">#REF!</definedName>
    <definedName function="false" hidden="false" localSheetId="5" name="Interest_Rate" vbProcedure="false">#REF!</definedName>
    <definedName function="false" hidden="false" localSheetId="5" name="IntFreeCred" vbProcedure="false">#REF!</definedName>
    <definedName function="false" hidden="false" localSheetId="5" name="INTPAY" vbProcedure="false">#REF!</definedName>
    <definedName function="false" hidden="false" localSheetId="5" name="INTREC" vbProcedure="false">#REF!</definedName>
    <definedName function="false" hidden="false" localSheetId="5" name="is" vbProcedure="false">#REF!</definedName>
    <definedName function="false" hidden="false" localSheetId="5" name="isdec" vbProcedure="false">#REF!</definedName>
    <definedName function="false" hidden="false" localSheetId="5" name="isj" vbProcedure="false">#REF!</definedName>
    <definedName function="false" hidden="false" localSheetId="5" name="iss" vbProcedure="false">#REF!</definedName>
    <definedName function="false" hidden="false" localSheetId="5" name="Items" vbProcedure="false">#REF!</definedName>
    <definedName function="false" hidden="false" localSheetId="5" name="ItemsActuallyTested" vbProcedure="false">#REF!</definedName>
    <definedName function="false" hidden="false" localSheetId="5" name="jc" vbProcedure="false">#REF!</definedName>
    <definedName function="false" hidden="false" localSheetId="5" name="ji" vbProcedure="false">#REF!</definedName>
    <definedName function="false" hidden="false" localSheetId="5" name="JJH" vbProcedure="false">#REF!</definedName>
    <definedName function="false" hidden="false" localSheetId="5" name="jjvs" vbProcedure="false">#REF!</definedName>
    <definedName function="false" hidden="false" localSheetId="5" name="JOC" vbProcedure="false">#REF!</definedName>
    <definedName function="false" hidden="false" localSheetId="5" name="JOCE" vbProcedure="false">#REF!</definedName>
    <definedName function="false" hidden="false" localSheetId="5" name="jtl" vbProcedure="false">#REF!</definedName>
    <definedName function="false" hidden="false" localSheetId="5" name="jui" vbProcedure="false">#REF!</definedName>
    <definedName function="false" hidden="false" localSheetId="5" name="jw" vbProcedure="false">#REF!</definedName>
    <definedName function="false" hidden="false" localSheetId="5" name="k" vbProcedure="false">#REF!</definedName>
    <definedName function="false" hidden="false" localSheetId="5" name="keyerracc" vbProcedure="false">#REF!</definedName>
    <definedName function="false" hidden="false" localSheetId="5" name="kh" vbProcedure="false">#REF!</definedName>
    <definedName function="false" hidden="false" localSheetId="5" name="lb" vbProcedure="false">#REF!</definedName>
    <definedName function="false" hidden="false" localSheetId="5" name="lidwina" vbProcedure="false">#REF!</definedName>
    <definedName function="false" hidden="false" localSheetId="5" name="LIST" vbProcedure="false">#REF!</definedName>
    <definedName function="false" hidden="false" localSheetId="5" name="ll" vbProcedure="false">#REF!</definedName>
    <definedName function="false" hidden="false" localSheetId="5" name="lloyacc" vbProcedure="false">#REF!</definedName>
    <definedName function="false" hidden="false" localSheetId="5" name="Loan_Amount" vbProcedure="false">#REF!</definedName>
    <definedName function="false" hidden="false" localSheetId="5" name="Loan_Years" vbProcedure="false">#REF!</definedName>
    <definedName function="false" hidden="false" localSheetId="5" name="LOCRTNPROV" vbProcedure="false">#REF!</definedName>
    <definedName function="false" hidden="false" localSheetId="5" name="LOCSTKPROV" vbProcedure="false">#REF!</definedName>
    <definedName function="false" hidden="false" localSheetId="5" name="lotcprov" vbProcedure="false">#REF!</definedName>
    <definedName function="false" hidden="false" localSheetId="5" name="lotprov" vbProcedure="false">#REF!</definedName>
    <definedName function="false" hidden="false" localSheetId="5" name="luc" vbProcedure="false">#REF!</definedName>
    <definedName function="false" hidden="false" localSheetId="5" name="LWSALES" vbProcedure="false">#REF!</definedName>
    <definedName function="false" hidden="false" localSheetId="5" name="LYBin" vbProcedure="false">#REF!</definedName>
    <definedName function="false" hidden="false" localSheetId="5" name="LYHolds" vbProcedure="false">#REF!</definedName>
    <definedName function="false" hidden="false" localSheetId="5" name="LYNet" vbProcedure="false">#REF!</definedName>
    <definedName function="false" hidden="false" localSheetId="5" name="LYoos" vbProcedure="false">#REF!</definedName>
    <definedName function="false" hidden="false" localSheetId="5" name="LYReselects" vbProcedure="false">#REF!</definedName>
    <definedName function="false" hidden="false" localSheetId="5" name="LYReturns" vbProcedure="false">#REF!</definedName>
    <definedName function="false" hidden="false" localSheetId="5" name="LYSales" vbProcedure="false">#REF!</definedName>
    <definedName function="false" hidden="false" localSheetId="5" name="LYTotal" vbProcedure="false">#REF!</definedName>
    <definedName function="false" hidden="false" localSheetId="5" name="MACH" vbProcedure="false">#REF!</definedName>
    <definedName function="false" hidden="false" localSheetId="5" name="map" vbProcedure="false">#REF!</definedName>
    <definedName function="false" hidden="false" localSheetId="5" name="MARGINPLAN" vbProcedure="false">#REF!</definedName>
    <definedName function="false" hidden="false" localSheetId="5" name="MARGINPROJ" vbProcedure="false">#REF!</definedName>
    <definedName function="false" hidden="false" localSheetId="5" name="Mast" vbProcedure="false">#REF!</definedName>
    <definedName function="false" hidden="false" localSheetId="5" name="mc" vbProcedure="false">#REF!</definedName>
    <definedName function="false" hidden="false" localSheetId="5" name="MCW" vbProcedure="false">#REF!</definedName>
    <definedName function="false" hidden="false" localSheetId="5" name="mdownacc" vbProcedure="false">#REF!</definedName>
    <definedName function="false" hidden="false" localSheetId="5" name="Mis_Def" vbProcedure="false">#REF!</definedName>
    <definedName function="false" hidden="false" localSheetId="5" name="Mkt_Vouch" vbProcedure="false">#REF!,#REF!</definedName>
    <definedName function="false" hidden="false" localSheetId="5" name="MRA" vbProcedure="false">#REF!</definedName>
    <definedName function="false" hidden="false" localSheetId="5" name="mti" vbProcedure="false">#REF!</definedName>
    <definedName function="false" hidden="false" localSheetId="5" name="mv" vbProcedure="false">#REF!</definedName>
    <definedName function="false" hidden="false" localSheetId="5" name="n" vbProcedure="false">#REF!</definedName>
    <definedName function="false" hidden="false" localSheetId="5" name="NBT" vbProcedure="false">#REF!</definedName>
    <definedName function="false" hidden="false" localSheetId="5" name="NESNACC" vbProcedure="false">#REF!</definedName>
    <definedName function="false" hidden="false" localSheetId="5" name="new" vbProcedure="false">#REF!</definedName>
    <definedName function="false" hidden="false" localSheetId="5" name="nilacc" vbProcedure="false">#REF!</definedName>
    <definedName function="false" hidden="false" localSheetId="5" name="niltrnacc" vbProcedure="false">#REF!</definedName>
    <definedName function="false" hidden="false" localSheetId="5" name="nn" vbProcedure="false">#REF!</definedName>
    <definedName function="false" hidden="false" localSheetId="5" name="NOTE1" vbProcedure="false">#REF!</definedName>
    <definedName function="false" hidden="false" localSheetId="5" name="NOTE2" vbProcedure="false">#REF!</definedName>
    <definedName function="false" hidden="false" localSheetId="5" name="Number_of_Items_Actually_Tested" vbProcedure="false">#REF!</definedName>
    <definedName function="false" hidden="false" localSheetId="5" name="Number_of_Payments" vbProcedure="false">MATCH(0.01,'Master Yield summary '!End_Bal,-1)+1</definedName>
    <definedName function="false" hidden="false" localSheetId="5" name="Num_Pmt_Per_Year" vbProcedure="false">#REF!</definedName>
    <definedName function="false" hidden="false" localSheetId="5" name="oj" vbProcedure="false">#REF!</definedName>
    <definedName function="false" hidden="false" localSheetId="5" name="OS" vbProcedure="false">#REF!</definedName>
    <definedName function="false" hidden="false" localSheetId="5" name="oth" vbProcedure="false">#REF!</definedName>
    <definedName function="false" hidden="false" localSheetId="5" name="ots" vbProcedure="false">#REF!</definedName>
    <definedName function="false" hidden="false" localSheetId="5" name="ott" vbProcedure="false">#REF!</definedName>
    <definedName function="false" hidden="false" localSheetId="5" name="p" vbProcedure="false">#REF!</definedName>
    <definedName function="false" hidden="false" localSheetId="5" name="Page13" vbProcedure="false">#REF!</definedName>
    <definedName function="false" hidden="false" localSheetId="5" name="Pay_Date" vbProcedure="false">#REF!</definedName>
    <definedName function="false" hidden="false" localSheetId="5" name="Pay_Num" vbProcedure="false">#REF!</definedName>
    <definedName function="false" hidden="false" localSheetId="5" name="PER3DUTY" vbProcedure="false">#REF!</definedName>
    <definedName function="false" hidden="false" localSheetId="5" name="Period" vbProcedure="false">#REF!</definedName>
    <definedName function="false" hidden="false" localSheetId="5" name="PERNO" vbProcedure="false">#REF!</definedName>
    <definedName function="false" hidden="false" localSheetId="5" name="plmthinr" vbProcedure="false">#REF!</definedName>
    <definedName function="false" hidden="false" localSheetId="5" name="PLTH" vbProcedure="false">#REF!</definedName>
    <definedName function="false" hidden="false" localSheetId="5" name="poinvacc" vbProcedure="false">#REF!</definedName>
    <definedName function="false" hidden="false" localSheetId="5" name="Pop_AC" vbProcedure="false">#REF!</definedName>
    <definedName function="false" hidden="false" localSheetId="5" name="Pop_Acc_Comp" vbProcedure="false">#REF!</definedName>
    <definedName function="false" hidden="false" localSheetId="5" name="Pop_Def" vbProcedure="false">#REF!</definedName>
    <definedName function="false" hidden="false" localSheetId="5" name="Pop_Imm_Def" vbProcedure="false">#REF!</definedName>
    <definedName function="false" hidden="false" localSheetId="5" name="Pop_Imm_It" vbProcedure="false">#REF!</definedName>
    <definedName function="false" hidden="false" localSheetId="5" name="Pop_Imm_T" vbProcedure="false">#REF!</definedName>
    <definedName function="false" hidden="false" localSheetId="5" name="Pop_Samp_It" vbProcedure="false">#REF!</definedName>
    <definedName function="false" hidden="false" localSheetId="5" name="Pop_Samp_T" vbProcedure="false">#REF!</definedName>
    <definedName function="false" hidden="false" localSheetId="5" name="Pop_Sig_Def" vbProcedure="false">#REF!</definedName>
    <definedName function="false" hidden="false" localSheetId="5" name="Pop_Sig_It" vbProcedure="false">#REF!</definedName>
    <definedName function="false" hidden="false" localSheetId="5" name="Pop_Sig_T" vbProcedure="false">#REF!</definedName>
    <definedName function="false" hidden="false" localSheetId="5" name="Pop_SU" vbProcedure="false">#REF!</definedName>
    <definedName function="false" hidden="false" localSheetId="5" name="POSTPONED_TO_DEC" vbProcedure="false">#REF!</definedName>
    <definedName function="false" hidden="false" localSheetId="5" name="pp" vbProcedure="false">#REF!</definedName>
    <definedName function="false" hidden="false" localSheetId="5" name="ppe" vbProcedure="false">#REF!</definedName>
    <definedName function="false" hidden="false" localSheetId="5" name="PRDump" vbProcedure="false">#REF!</definedName>
    <definedName function="false" hidden="false" localSheetId="5" name="price" vbProcedure="false">#REF!</definedName>
    <definedName function="false" hidden="false" localSheetId="5" name="Princ" vbProcedure="false">#REF!</definedName>
    <definedName function="false" hidden="false" localSheetId="5" name="PrintArea2" vbProcedure="false">#REF!</definedName>
    <definedName function="false" hidden="false" localSheetId="5" name="Proj_Meth" vbProcedure="false">#REF!</definedName>
    <definedName function="false" hidden="false" localSheetId="5" name="pvs" vbProcedure="false">#REF!</definedName>
    <definedName function="false" hidden="false" localSheetId="5" name="q" vbProcedure="false">#REF!</definedName>
    <definedName function="false" hidden="false" localSheetId="5" name="qedxqsx" vbProcedure="false">#REF!</definedName>
    <definedName function="false" hidden="false" localSheetId="5" name="qq" vbProcedure="false">#REF!</definedName>
    <definedName function="false" hidden="false" localSheetId="5" name="qqqqqqqqqqqqq" vbProcedure="false">scheduled_payment+extra_payment</definedName>
    <definedName function="false" hidden="false" localSheetId="5" name="Query1" vbProcedure="false">#REF!</definedName>
    <definedName function="false" hidden="false" localSheetId="5" name="RATE" vbProcedure="false">#REF!</definedName>
    <definedName function="false" hidden="false" localSheetId="5" name="RawAgencyPrice" vbProcedure="false">#REF!</definedName>
    <definedName function="false" hidden="false" localSheetId="5" name="RBData" vbProcedure="false">#REF!</definedName>
    <definedName function="false" hidden="false" localSheetId="5" name="re" vbProcedure="false">#REF!</definedName>
    <definedName function="false" hidden="false" localSheetId="5" name="RECCANACC" vbProcedure="false">#REF!</definedName>
    <definedName function="false" hidden="false" localSheetId="5" name="RECE" vbProcedure="false">#REF!</definedName>
    <definedName function="false" hidden="false" localSheetId="5" name="RECEXACC" vbProcedure="false">#REF!</definedName>
    <definedName function="false" hidden="false" localSheetId="5" name="RECINACC" vbProcedure="false">#REF!</definedName>
    <definedName function="false" hidden="false" localSheetId="5" name="recs" vbProcedure="false">scheduled_payment+extra_payment</definedName>
    <definedName function="false" hidden="false" localSheetId="5" name="recx" vbProcedure="false">DATE(YEAR('Master Yield summary '!Loan_Start),MONTH('Master Yield summary '!Loan_Start)+payment_number,DAY('Master Yield summary '!Loan_Start))</definedName>
    <definedName function="false" hidden="false" localSheetId="5" name="red" vbProcedure="false">scheduled_payment+extra_payment</definedName>
    <definedName function="false" hidden="false" localSheetId="5" name="Report" vbProcedure="false">#REF!</definedName>
    <definedName function="false" hidden="false" localSheetId="5" name="Reselects" vbProcedure="false">#REF!</definedName>
    <definedName function="false" hidden="false" localSheetId="5" name="returnprov" vbProcedure="false">#REF!</definedName>
    <definedName function="false" hidden="false" localSheetId="5" name="returns_prov" vbProcedure="false">#REF!</definedName>
    <definedName function="false" hidden="false" localSheetId="5" name="REVACC" vbProcedure="false">#REF!</definedName>
    <definedName function="false" hidden="false" localSheetId="5" name="REVPER" vbProcedure="false">#REF!</definedName>
    <definedName function="false" hidden="false" localSheetId="5" name="RPT" vbProcedure="false">#REF!</definedName>
    <definedName function="false" hidden="false" localSheetId="5" name="rrr" vbProcedure="false">#REF!</definedName>
    <definedName function="false" hidden="false" localSheetId="5" name="s" vbProcedure="false">#REF!</definedName>
    <definedName function="false" hidden="false" localSheetId="5" name="S99BOYS" vbProcedure="false">#REF!</definedName>
    <definedName function="false" hidden="false" localSheetId="5" name="SALESPLAN" vbProcedure="false">#REF!</definedName>
    <definedName function="false" hidden="false" localSheetId="5" name="SALESPROJ" vbProcedure="false">#REF!</definedName>
    <definedName function="false" hidden="false" localSheetId="5" name="salesvar" vbProcedure="false">#REF!,#REF!,#REF!,#REF!,#REF!,#REF!,#REF!,#REF!,#REF!</definedName>
    <definedName function="false" hidden="false" localSheetId="5" name="Sampr_Factor" vbProcedure="false">#REF!</definedName>
    <definedName function="false" hidden="false" localSheetId="5" name="Samp_Ass" vbProcedure="false">#REF!</definedName>
    <definedName function="false" hidden="false" localSheetId="5" name="Samp_Calc_Sample" vbProcedure="false">#REF!</definedName>
    <definedName function="false" hidden="false" localSheetId="5" name="Samp_Calc_TM" vbProcedure="false">#REF!</definedName>
    <definedName function="false" hidden="false" localSheetId="5" name="Samp_DSS" vbProcedure="false">#REF!</definedName>
    <definedName function="false" hidden="false" localSheetId="5" name="Samp_EM_Per" vbProcedure="false">#REF!</definedName>
    <definedName function="false" hidden="false" localSheetId="5" name="Samp_EM_T" vbProcedure="false">#REF!</definedName>
    <definedName function="false" hidden="false" localSheetId="5" name="Samp_Factor" vbProcedure="false">#REF!</definedName>
    <definedName function="false" hidden="false" localSheetId="5" name="Samp_Min_SS" vbProcedure="false">#REF!</definedName>
    <definedName function="false" hidden="false" localSheetId="5" name="Samp_MTM" vbProcedure="false">#REF!</definedName>
    <definedName function="false" hidden="false" localSheetId="5" name="Samp_PM" vbProcedure="false">#REF!</definedName>
    <definedName function="false" hidden="false" localSheetId="5" name="Samp_Pre" vbProcedure="false">#REF!</definedName>
    <definedName function="false" hidden="false" localSheetId="5" name="Samp_Pre_T" vbProcedure="false">#REF!</definedName>
    <definedName function="false" hidden="false" localSheetId="5" name="Samp_RTB" vbProcedure="false">#REF!</definedName>
    <definedName function="false" hidden="false" localSheetId="5" name="Samp_RTB_Desc" vbProcedure="false">#REF!</definedName>
    <definedName function="false" hidden="false" localSheetId="5" name="Samp_Sel" vbProcedure="false">#REF!</definedName>
    <definedName function="false" hidden="false" localSheetId="5" name="Samp_Small_Adj" vbProcedure="false">#REF!</definedName>
    <definedName function="false" hidden="false" localSheetId="5" name="Samp_SS" vbProcedure="false">#REF!</definedName>
    <definedName function="false" hidden="false" localSheetId="5" name="Samp_TM_Diff" vbProcedure="false">#REF!</definedName>
    <definedName function="false" hidden="false" localSheetId="5" name="Samp_TM_Exp_Diff" vbProcedure="false">#REF!</definedName>
    <definedName function="false" hidden="false" localSheetId="5" name="Samp_TM_N" vbProcedure="false">#REF!</definedName>
    <definedName function="false" hidden="false" localSheetId="5" name="Samp_TM_Y" vbProcedure="false">#REF!</definedName>
    <definedName function="false" hidden="false" localSheetId="5" name="San" vbProcedure="false">#REF!</definedName>
    <definedName function="false" hidden="false" localSheetId="5" name="scenario" vbProcedure="false">DATE(YEAR('Master Yield summary '!Loan_Start),MONTH('Master Yield summary '!Loan_Start)+payment_number,DAY('Master Yield summary '!Loan_Start))</definedName>
    <definedName function="false" hidden="false" localSheetId="5" name="Scheduled_Extra_Payments" vbProcedure="false">#REF!</definedName>
    <definedName function="false" hidden="false" localSheetId="5" name="Scheduled_Interest_Rate" vbProcedure="false">#REF!</definedName>
    <definedName function="false" hidden="false" localSheetId="5" name="Scheduled_Monthly_Payment" vbProcedure="false">#REF!</definedName>
    <definedName function="false" hidden="false" localSheetId="5" name="Sched_Pay" vbProcedure="false">#REF!</definedName>
    <definedName function="false" hidden="false" localSheetId="5" name="SDATE" vbProcedure="false">#REF!</definedName>
    <definedName function="false" hidden="false" localSheetId="5" name="sdsdd" vbProcedure="false">DATE(YEAR('Master Yield summary '!Loan_Start),MONTH('Master Yield summary '!Loan_Start)+payment_number,DAY('Master Yield summary '!Loan_Start))</definedName>
    <definedName function="false" hidden="false" localSheetId="5" name="sec" vbProcedure="false">#REF!</definedName>
    <definedName function="false" hidden="false" localSheetId="5" name="sepi" vbProcedure="false">#REF!</definedName>
    <definedName function="false" hidden="false" localSheetId="5" name="sepr" vbProcedure="false">#REF!</definedName>
    <definedName function="false" hidden="false" localSheetId="5" name="SERIAL" vbProcedure="false">#REF!</definedName>
    <definedName function="false" hidden="false" localSheetId="5" name="SERI_SELANGIN_SDN_BHD" vbProcedure="false">#REF!</definedName>
    <definedName function="false" hidden="false" localSheetId="5" name="SIZE" vbProcedure="false">#REF!</definedName>
    <definedName function="false" hidden="false" localSheetId="5" name="SKTB" vbProcedure="false">#REF!</definedName>
    <definedName function="false" hidden="false" localSheetId="5" name="stkl01" vbProcedure="false">#REF!</definedName>
    <definedName function="false" hidden="false" localSheetId="5" name="STOCK" vbProcedure="false">#REF!</definedName>
    <definedName function="false" hidden="false" localSheetId="5" name="Stocks_Written_Off" vbProcedure="false">#REF!</definedName>
    <definedName function="false" hidden="false" localSheetId="5" name="STORE" vbProcedure="false">#REF!</definedName>
    <definedName function="false" hidden="false" localSheetId="5" name="STOREMISC" vbProcedure="false">#REF!,#REF!,#REF!,#REF!,#REF!,#REF!</definedName>
    <definedName function="false" hidden="false" localSheetId="5" name="storerates" vbProcedure="false">#REF!,#REF!</definedName>
    <definedName function="false" hidden="false" localSheetId="5" name="storerent" vbProcedure="false">#REF!,#REF!,#REF!</definedName>
    <definedName function="false" hidden="false" localSheetId="5" name="STOREVAR1" vbProcedure="false">#REF!,#REF!,#REF!,#REF!,#REF!,#REF!,#REF!</definedName>
    <definedName function="false" hidden="false" localSheetId="5" name="STOREVAR2" vbProcedure="false">#REF!,#REF!,#REF!,#REF!,#REF!</definedName>
    <definedName function="false" hidden="false" localSheetId="5" name="STOREVAR3" vbProcedure="false">#REF!,#REF!,#REF!,#REF!,#REF!,#REF!,#REF!,#REF!,#REF!</definedName>
    <definedName function="false" hidden="false" localSheetId="5" name="Strat_1_Def" vbProcedure="false">#REF!</definedName>
    <definedName function="false" hidden="false" localSheetId="5" name="Strat_1_It" vbProcedure="false">#REF!</definedName>
    <definedName function="false" hidden="false" localSheetId="5" name="Strat_1_T" vbProcedure="false">#REF!</definedName>
    <definedName function="false" hidden="false" localSheetId="5" name="Strat_2_Def" vbProcedure="false">#REF!</definedName>
    <definedName function="false" hidden="false" localSheetId="5" name="Strat_2_It" vbProcedure="false">#REF!</definedName>
    <definedName function="false" hidden="false" localSheetId="5" name="Strat_2_T" vbProcedure="false">#REF!</definedName>
    <definedName function="false" hidden="false" localSheetId="5" name="Strat_Dec" vbProcedure="false">#REF!</definedName>
    <definedName function="false" hidden="false" localSheetId="5" name="Strat_Def" vbProcedure="false">#REF!</definedName>
    <definedName function="false" hidden="false" localSheetId="5" name="Strat_T_It" vbProcedure="false">#REF!</definedName>
    <definedName function="false" hidden="false" localSheetId="5" name="Strat_T_T" vbProcedure="false">#REF!</definedName>
    <definedName function="false" hidden="false" localSheetId="5" name="STYLE_?" vbProcedure="false">#REF!</definedName>
    <definedName function="false" hidden="false" localSheetId="5" name="SUM" vbProcedure="false">#REF!</definedName>
    <definedName function="false" hidden="false" localSheetId="5" name="summary" vbProcedure="false">#REF!</definedName>
    <definedName function="false" hidden="false" localSheetId="5" name="Tab" vbProcedure="false">DATE(YEAR('Master Yield summary '!Loan_Start),MONTH('Master Yield summary '!Loan_Start)+payment_number,DAY('Master Yield summary '!Loan_Start))</definedName>
    <definedName function="false" hidden="false" localSheetId="5" name="Table1" vbProcedure="false">#REF!</definedName>
    <definedName function="false" hidden="false" localSheetId="5" name="Tabs" vbProcedure="false">scheduled_payment+extra_payment</definedName>
    <definedName function="false" hidden="false" localSheetId="5" name="tele" vbProcedure="false">#REF!</definedName>
    <definedName function="false" hidden="false" localSheetId="5" name="Template_Analytic" vbProcedure="false">#REF!</definedName>
    <definedName function="false" hidden="false" localSheetId="5" name="TEST" vbProcedure="false">#REF!</definedName>
    <definedName function="false" hidden="false" localSheetId="5" name="TEST0" vbProcedure="false">#REF!</definedName>
    <definedName function="false" hidden="false" localSheetId="5" name="TEST2" vbProcedure="false">#REF!</definedName>
    <definedName function="false" hidden="false" localSheetId="5" name="TESTHKEY" vbProcedure="false">#REF!</definedName>
    <definedName function="false" hidden="false" localSheetId="5" name="TESTKEYS" vbProcedure="false">#REF!</definedName>
    <definedName function="false" hidden="false" localSheetId="5" name="TESTVKEY" vbProcedure="false">#REF!</definedName>
    <definedName function="false" hidden="false" localSheetId="5" name="Test_Description" vbProcedure="false">#REF!</definedName>
    <definedName function="false" hidden="false" localSheetId="5" name="Test_II" vbProcedure="false">#REF!</definedName>
    <definedName function="false" hidden="false" localSheetId="5" name="Test_ND" vbProcedure="false">#REF!</definedName>
    <definedName function="false" hidden="false" localSheetId="5" name="Test_Proj_Mis" vbProcedure="false">#REF!</definedName>
    <definedName function="false" hidden="false" localSheetId="5" name="Test_Targ" vbProcedure="false">#REF!</definedName>
    <definedName function="false" hidden="false" localSheetId="5" name="Test_Total_T" vbProcedure="false">#REF!</definedName>
    <definedName function="false" hidden="false" localSheetId="5" name="ti" vbProcedure="false">#REF!</definedName>
    <definedName function="false" hidden="false" localSheetId="5" name="tij" vbProcedure="false">#REF!</definedName>
    <definedName function="false" hidden="false" localSheetId="5" name="TIL" vbProcedure="false">#REF!</definedName>
    <definedName function="false" hidden="false" localSheetId="5" name="tilc" vbProcedure="false">#REF!</definedName>
    <definedName function="false" hidden="false" localSheetId="5" name="tilj" vbProcedure="false">#REF!</definedName>
    <definedName function="false" hidden="false" localSheetId="5" name="tilr" vbProcedure="false">#REF!</definedName>
    <definedName function="false" hidden="false" localSheetId="5" name="tio" vbProcedure="false">#REF!</definedName>
    <definedName function="false" hidden="false" localSheetId="5" name="Total_Interest" vbProcedure="false">#REF!</definedName>
    <definedName function="false" hidden="false" localSheetId="5" name="Total_Pay" vbProcedure="false">#REF!</definedName>
    <definedName function="false" hidden="false" localSheetId="5" name="Total_Payment" vbProcedure="false">scheduled_payment+extra_payment</definedName>
    <definedName function="false" hidden="false" localSheetId="5" name="TRO" vbProcedure="false">#REF!</definedName>
    <definedName function="false" hidden="false" localSheetId="5" name="trtran" vbProcedure="false">#REF!</definedName>
    <definedName function="false" hidden="false" localSheetId="5" name="TRTRANREC" vbProcedure="false">#REF!</definedName>
    <definedName function="false" hidden="false" localSheetId="5" name="tt" vbProcedure="false">#REF!</definedName>
    <definedName function="false" hidden="false" localSheetId="5" name="TTT" vbProcedure="false">#REF!</definedName>
    <definedName function="false" hidden="false" localSheetId="5" name="tttt" vbProcedure="false">#REF!</definedName>
    <definedName function="false" hidden="false" localSheetId="5" name="UAE" vbProcedure="false">#REF!</definedName>
    <definedName function="false" hidden="false" localSheetId="5" name="USA" vbProcedure="false">#REF!</definedName>
    <definedName function="false" hidden="false" localSheetId="5" name="usdcum" vbProcedure="false">#REF!</definedName>
    <definedName function="false" hidden="false" localSheetId="5" name="usdcumnoa" vbProcedure="false">#REF!</definedName>
    <definedName function="false" hidden="false" localSheetId="5" name="Values_Entered" vbProcedure="false">IF('Master Yield summary '!Loan_Amount*'Master Yield summary '!Interest_Rate*'Master Yield summary '!Loan_Years*'Master Yield summary '!Loan_Start&gt;0,1,0)</definedName>
    <definedName function="false" hidden="false" localSheetId="5" name="Value_ARPopulation" vbProcedure="false">#REF!</definedName>
    <definedName function="false" hidden="false" localSheetId="5" name="Value_LevelAssurance" vbProcedure="false">#REF!</definedName>
    <definedName function="false" hidden="false" localSheetId="5" name="Value_NumberExceptionsIdentified" vbProcedure="false">#REF!</definedName>
    <definedName function="false" hidden="false" localSheetId="5" name="Value_NumberTolerableExceptions" vbProcedure="false">#REF!</definedName>
    <definedName function="false" hidden="false" localSheetId="5" name="vcl" vbProcedure="false">#REF!</definedName>
    <definedName function="false" hidden="false" localSheetId="5" name="vs" vbProcedure="false">#REF!</definedName>
    <definedName function="false" hidden="false" localSheetId="5" name="vsa" vbProcedure="false">#REF!</definedName>
    <definedName function="false" hidden="false" localSheetId="5" name="vsc" vbProcedure="false">#REF!</definedName>
    <definedName function="false" hidden="false" localSheetId="5" name="vsj" vbProcedure="false">#REF!</definedName>
    <definedName function="false" hidden="false" localSheetId="5" name="vss" vbProcedure="false">#REF!</definedName>
    <definedName function="false" hidden="false" localSheetId="5" name="vv" vbProcedure="false">#REF!</definedName>
    <definedName function="false" hidden="false" localSheetId="5" name="vvv" vbProcedure="false">#REF!</definedName>
    <definedName function="false" hidden="false" localSheetId="5" name="waasique" vbProcedure="false">#REF!</definedName>
    <definedName function="false" hidden="false" localSheetId="5" name="wcccccc" vbProcedure="false">scheduled_payment+extra_payment</definedName>
    <definedName function="false" hidden="false" localSheetId="5" name="werf" vbProcedure="false">DATE(YEAR('Master Yield summary '!Loan_Start),MONTH('Master Yield summary '!Loan_Start)+payment_number,DAY('Master Yield summary '!Loan_Start))</definedName>
    <definedName function="false" hidden="false" localSheetId="5" name="Whwork" vbProcedure="false">#REF!,#REF!</definedName>
    <definedName function="false" hidden="false" localSheetId="5" name="WIP" vbProcedure="false">#REF!</definedName>
    <definedName function="false" hidden="false" localSheetId="5" name="woeuefhuws" vbProcedure="false">#REF!</definedName>
    <definedName function="false" hidden="false" localSheetId="5" name="workings" vbProcedure="false">#REF!</definedName>
    <definedName function="false" hidden="false" localSheetId="5" name="Working_Actual" vbProcedure="false">#REF!</definedName>
    <definedName function="false" hidden="false" localSheetId="5" name="Working_Budget" vbProcedure="false">#REF!</definedName>
    <definedName function="false" hidden="false" localSheetId="5" name="Working_Last_Year" vbProcedure="false">#REF!</definedName>
    <definedName function="false" hidden="false" localSheetId="5" name="ww" vbProcedure="false">#REF!</definedName>
    <definedName function="false" hidden="false" localSheetId="5" name="www" vbProcedure="false">#REF!</definedName>
    <definedName function="false" hidden="false" localSheetId="5" name="zzz" vbProcedure="false">#REF!</definedName>
    <definedName function="false" hidden="false" localSheetId="5" name="\a" vbProcedure="false">#REF!</definedName>
    <definedName function="false" hidden="false" localSheetId="5" name="\cage" vbProcedure="false">#REF!</definedName>
    <definedName function="false" hidden="false" localSheetId="5" name="\d" vbProcedure="false">#REF!</definedName>
    <definedName function="false" hidden="false" localSheetId="5" name="\i" vbProcedure="false">#REF!</definedName>
    <definedName function="false" hidden="false" localSheetId="5" name="\P" vbProcedure="false">#REF!</definedName>
    <definedName function="false" hidden="false" localSheetId="5" name="\S" vbProcedure="false">#REF!</definedName>
    <definedName function="false" hidden="false" localSheetId="5" name="_206_172" vbProcedure="false">#REF!</definedName>
    <definedName function="false" hidden="false" localSheetId="5" name="_206_192" vbProcedure="false">#REF!</definedName>
    <definedName function="false" hidden="false" localSheetId="5" name="_209_591" vbProcedure="false">#REF!</definedName>
    <definedName function="false" hidden="false" localSheetId="5" name="_209_624" vbProcedure="false">#REF!</definedName>
    <definedName function="false" hidden="false" localSheetId="5" name="_209_845" vbProcedure="false">#REF!</definedName>
    <definedName function="false" hidden="false" localSheetId="5" name="_209_918" vbProcedure="false">#REF!</definedName>
    <definedName function="false" hidden="false" localSheetId="5" name="_210A573" vbProcedure="false">#REF!</definedName>
    <definedName function="false" hidden="false" localSheetId="5" name="_210_573" vbProcedure="false">#REF!</definedName>
    <definedName function="false" hidden="false" localSheetId="5" name="_217A428" vbProcedure="false">#REF!</definedName>
    <definedName function="false" hidden="false" localSheetId="5" name="_217A718" vbProcedure="false">#REF!</definedName>
    <definedName function="false" hidden="false" localSheetId="5" name="_217A858" vbProcedure="false">#REF!</definedName>
    <definedName function="false" hidden="false" localSheetId="5" name="_217B428" vbProcedure="false">#REF!</definedName>
    <definedName function="false" hidden="false" localSheetId="5" name="_217_428" vbProcedure="false">#REF!</definedName>
    <definedName function="false" hidden="false" localSheetId="5" name="_217_718" vbProcedure="false">#REF!</definedName>
    <definedName function="false" hidden="false" localSheetId="5" name="_217_858" vbProcedure="false">#REF!</definedName>
    <definedName function="false" hidden="false" localSheetId="5" name="_217_987" vbProcedure="false">#REF!</definedName>
    <definedName function="false" hidden="false" localSheetId="5" name="_237A142" vbProcedure="false">#REF!</definedName>
    <definedName function="false" hidden="false" localSheetId="5" name="_237_142" vbProcedure="false">#REF!</definedName>
    <definedName function="false" hidden="false" localSheetId="5" name="_ACC0320" vbProcedure="false">#REF!</definedName>
    <definedName function="false" hidden="false" localSheetId="5" name="_avg6" vbProcedure="false">#REF!</definedName>
    <definedName function="false" hidden="false" localSheetId="5" name="_BAL0320" vbProcedure="false">#REF!</definedName>
    <definedName function="false" hidden="false" localSheetId="5" name="_BAL0344" vbProcedure="false">#REF!</definedName>
    <definedName function="false" hidden="false" localSheetId="5" name="_BAL0348" vbProcedure="false">#REF!</definedName>
    <definedName function="false" hidden="false" localSheetId="5" name="_BAL0360" vbProcedure="false">#REF!</definedName>
    <definedName function="false" hidden="false" localSheetId="5" name="_BAL0361" vbProcedure="false">#REF!</definedName>
    <definedName function="false" hidden="false" localSheetId="5" name="_BAL0367" vbProcedure="false">#REF!</definedName>
    <definedName function="false" hidden="false" localSheetId="5" name="_BAL0370" vbProcedure="false">#REF!</definedName>
    <definedName function="false" hidden="false" localSheetId="5" name="_BAL0375" vbProcedure="false">#REF!</definedName>
    <definedName function="false" hidden="false" localSheetId="5" name="_BAL0384" vbProcedure="false">#REF!</definedName>
    <definedName function="false" hidden="false" localSheetId="5" name="_BAL0385" vbProcedure="false">#REF!</definedName>
    <definedName function="false" hidden="false" localSheetId="5" name="_BAL0386" vbProcedure="false">#REF!</definedName>
    <definedName function="false" hidden="false" localSheetId="5" name="_BAL0387" vbProcedure="false">#REF!</definedName>
    <definedName function="false" hidden="false" localSheetId="5" name="_BAL0388" vbProcedure="false">#REF!</definedName>
    <definedName function="false" hidden="false" localSheetId="5" name="_BAL0395" vbProcedure="false">#REF!</definedName>
    <definedName function="false" hidden="false" localSheetId="5" name="_bal0397" vbProcedure="false">#REF!</definedName>
    <definedName function="false" hidden="false" localSheetId="5" name="_BAL0399" vbProcedure="false">#REF!</definedName>
    <definedName function="false" hidden="false" localSheetId="5" name="_BAL0400" vbProcedure="false">#REF!</definedName>
    <definedName function="false" hidden="false" localSheetId="5" name="_BAL0810" vbProcedure="false">#REF!</definedName>
    <definedName function="false" hidden="false" localSheetId="5" name="_BAL0811" vbProcedure="false">#REF!</definedName>
    <definedName function="false" hidden="false" localSheetId="5" name="_BAL0815" vbProcedure="false">#REF!</definedName>
    <definedName function="false" hidden="false" localSheetId="5" name="_BAL6791" vbProcedure="false">#REF!</definedName>
    <definedName function="false" hidden="false" localSheetId="5" name="_BLA0811" vbProcedure="false">#REF!</definedName>
    <definedName function="false" hidden="false" localSheetId="5" name="_DAT10" vbProcedure="false">#REF!</definedName>
    <definedName function="false" hidden="true" localSheetId="5" name="_Fill" vbProcedure="false">#REF!</definedName>
    <definedName function="false" hidden="false" localSheetId="5" name="_ita01" vbProcedure="false">#REF!</definedName>
    <definedName function="false" hidden="true" localSheetId="5" name="_Key1" vbProcedure="false">#REF!</definedName>
    <definedName function="false" hidden="true" localSheetId="5" name="_Key2" vbProcedure="false">#REF!</definedName>
    <definedName function="false" hidden="false" localSheetId="5" name="_lb01" vbProcedure="false">#REF!</definedName>
    <definedName function="false" hidden="false" localSheetId="5" name="_PHS1" vbProcedure="false">#REF!</definedName>
    <definedName function="false" hidden="false" localSheetId="5" name="_PPE1" vbProcedure="false">#REF!</definedName>
    <definedName function="false" hidden="true" localSheetId="5" name="_Sort" vbProcedure="false">#REF!</definedName>
    <definedName function="false" hidden="false" localSheetId="5" name="_til01" vbProcedure="false">#REF!</definedName>
    <definedName function="false" hidden="false" localSheetId="5" name="_uk01" vbProcedure="false">#REF!</definedName>
    <definedName function="false" hidden="false" localSheetId="5" name="_vsc01" vbProcedure="false">#REF!</definedName>
    <definedName function="false" hidden="false" localSheetId="5" name="_vss01" vbProcedure="false">#REF!</definedName>
    <definedName function="false" hidden="false" localSheetId="5" name="_xlnm.Recorder" vbProcedure="false">#REF!</definedName>
    <definedName function="false" hidden="false" localSheetId="5" name="__avg6" vbProcedure="false">#REF!</definedName>
    <definedName function="false" hidden="false" localSheetId="5" name="__DAT10" vbProcedure="false">#REF!</definedName>
    <definedName function="false" hidden="false" localSheetId="5" name="__DAT7" vbProcedure="false">#REF!</definedName>
    <definedName function="false" hidden="false" localSheetId="5" name="__ita01" vbProcedure="false">#REF!</definedName>
    <definedName function="false" hidden="false" localSheetId="5" name="__lb01" vbProcedure="false">#REF!</definedName>
    <definedName function="false" hidden="false" localSheetId="5" name="__PPE1" vbProcedure="false">#REF!</definedName>
    <definedName function="false" hidden="false" localSheetId="5" name="__til01" vbProcedure="false">#REF!</definedName>
    <definedName function="false" hidden="false" localSheetId="5" name="__uk01" vbProcedure="false">#REF!</definedName>
    <definedName function="false" hidden="false" localSheetId="5" name="__vsc01" vbProcedure="false">#REF!</definedName>
    <definedName function="false" hidden="false" localSheetId="5" name="__vss01" vbProcedure="false">#REF!</definedName>
    <definedName function="false" hidden="false" localSheetId="5" name="__xlnm.Print_Area_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<sst xmlns="http://schemas.openxmlformats.org/spreadsheetml/2006/main" count="482" uniqueCount="277">
  <si>
    <t xml:space="preserve">Pellet size</t>
  </si>
  <si>
    <t xml:space="preserve">Protein</t>
  </si>
  <si>
    <t xml:space="preserve">Fat</t>
  </si>
  <si>
    <t xml:space="preserve">Mix</t>
  </si>
  <si>
    <t xml:space="preserve">SK CnF</t>
  </si>
  <si>
    <t xml:space="preserve">SK WACC</t>
  </si>
  <si>
    <t xml:space="preserve">AD CnF</t>
  </si>
  <si>
    <t xml:space="preserve">AD WACC</t>
  </si>
  <si>
    <t xml:space="preserve">GR</t>
  </si>
  <si>
    <t xml:space="preserve">1.5mm</t>
  </si>
  <si>
    <t xml:space="preserve">2mm</t>
  </si>
  <si>
    <t xml:space="preserve">3mm</t>
  </si>
  <si>
    <t xml:space="preserve">5mm</t>
  </si>
  <si>
    <t xml:space="preserve">7mm</t>
  </si>
  <si>
    <t xml:space="preserve">10mm</t>
  </si>
  <si>
    <t xml:space="preserve">Barramundi Costing &amp; Pricing — DOMESTIC (Sri Lanka · LKR)</t>
  </si>
  <si>
    <t xml:space="preserve">SINGLE SOURCE OF TRUTH for farm costs. Edit yellow cells. Feed, clearing, FCR &amp; ODC entered here are inherited by the Export tab — enter them ONCE.</t>
  </si>
  <si>
    <t xml:space="preserve">WHOLE-FISH COST BY SIZE BUCKET  (g — median shown; only FCR &amp; ODC vary by size)</t>
  </si>
  <si>
    <t xml:space="preserve">1.  BASE FISH COST  (whole fish, ex-farm)</t>
  </si>
  <si>
    <t xml:space="preserve">0–600 g
med 300</t>
  </si>
  <si>
    <t xml:space="preserve">600–800 g
med 700</t>
  </si>
  <si>
    <t xml:space="preserve">800–1100 g
med 950</t>
  </si>
  <si>
    <t xml:space="preserve">1100–1500 g
med 1300</t>
  </si>
  <si>
    <t xml:space="preserve">1500–1800 g
med 1650</t>
  </si>
  <si>
    <t xml:space="preserve">1800–2200 g
med 2000</t>
  </si>
  <si>
    <t xml:space="preserve">2200–4000 g
med 3100</t>
  </si>
  <si>
    <t xml:space="preserve">Feed cost/kg</t>
  </si>
  <si>
    <t xml:space="preserve">USD per kg of feed</t>
  </si>
  <si>
    <t xml:space="preserve">Median (g) →</t>
  </si>
  <si>
    <t xml:space="preserve">Clearing cost/kg</t>
  </si>
  <si>
    <t xml:space="preserve">USD/kg — customs clearing / handling on imported feed</t>
  </si>
  <si>
    <t xml:space="preserve">Import tax on feed</t>
  </si>
  <si>
    <t xml:space="preserve">% duty / levies on imported feed</t>
  </si>
  <si>
    <t xml:space="preserve">Effective feed cost</t>
  </si>
  <si>
    <t xml:space="preserve">USD/kg feed incl. import tax + clearing</t>
  </si>
  <si>
    <t xml:space="preserve">FCR (feed conversion ratio)</t>
  </si>
  <si>
    <t xml:space="preserve">kg feed per kg live fish</t>
  </si>
  <si>
    <t xml:space="preserve">per-bucket →</t>
  </si>
  <si>
    <t xml:space="preserve">Feed cost per kg of fish</t>
  </si>
  <si>
    <t xml:space="preserve">USD/kg live fish</t>
  </si>
  <si>
    <t xml:space="preserve">ODC — other direct costs (= sum below)</t>
  </si>
  <si>
    <t xml:space="preserve">USD/kg — auto-sum of components ▼</t>
  </si>
  <si>
    <t xml:space="preserve">   - fingerling cost</t>
  </si>
  <si>
    <t xml:space="preserve">USD</t>
  </si>
  <si>
    <t xml:space="preserve">   - transport - trinco/colombo</t>
  </si>
  <si>
    <t xml:space="preserve">LKR</t>
  </si>
  <si>
    <t xml:space="preserve">   - ice</t>
  </si>
  <si>
    <t xml:space="preserve">   - vaccine</t>
  </si>
  <si>
    <t xml:space="preserve">   - additives</t>
  </si>
  <si>
    <t xml:space="preserve">   - royalty</t>
  </si>
  <si>
    <t xml:space="preserve">(fingerling→additives are PLACEHOLDER USD estimates — replace with real figures; royalty is your 5 LKR)</t>
  </si>
  <si>
    <t xml:space="preserve">Whole fish cost</t>
  </si>
  <si>
    <t xml:space="preserve">USD/kg live / whole fish</t>
  </si>
  <si>
    <t xml:space="preserve">FX rate</t>
  </si>
  <si>
    <t xml:space="preserve">LKR per 1 USD  ◄ drives all USD costs on SKU tab</t>
  </si>
  <si>
    <t xml:space="preserve">LKR/kg  ◄ feeds SKU tab</t>
  </si>
  <si>
    <t xml:space="preserve">Size buckets: FCR (row 9, placeholder — replace with farm data) rises with size; ODC (row 11) now AUTO-amortises by median size — per-fish costs (fingerling + vaccine) divide by median weight, per-kg costs (transport, ice, additives, royalty) stay flat. Column B = ~1000g reference.</t>
  </si>
  <si>
    <t xml:space="preserve">2.  COMMON PER-KG ADDERS  (LKR/kg)</t>
  </si>
  <si>
    <t xml:space="preserve">Transport</t>
  </si>
  <si>
    <t xml:space="preserve">LKR/kg — default, overridable per SKU</t>
  </si>
  <si>
    <t xml:space="preserve">Freezer / cold holding</t>
  </si>
  <si>
    <t xml:space="preserve">3.  STANDARD PRICE (rack rate)</t>
  </si>
  <si>
    <t xml:space="preserve">Retail / member / wholesale tiers are parked here until the subscription &amp; pricing model returns.</t>
  </si>
  <si>
    <t xml:space="preserve">Domestic rack-rate margin (GM%)</t>
  </si>
  <si>
    <t xml:space="preserve">standard price = FINAL ÷ (1 − this). Your domestic 'rack rate'.</t>
  </si>
  <si>
    <t xml:space="preserve">4.  SKU PORTFOLIO  (live count from SKU Costing tab)</t>
  </si>
  <si>
    <t xml:space="preserve">Active SKUs</t>
  </si>
  <si>
    <t xml:space="preserve">toggle Status on the SKU tab to change</t>
  </si>
  <si>
    <t xml:space="preserve">Inactive SKUs</t>
  </si>
  <si>
    <t xml:space="preserve">Total SKUs</t>
  </si>
  <si>
    <t xml:space="preserve">LEGEND</t>
  </si>
  <si>
    <t xml:space="preserve">Yellow cell</t>
  </si>
  <si>
    <t xml:space="preserve">You edit this — an input / assumption</t>
  </si>
  <si>
    <t xml:space="preserve">Black number</t>
  </si>
  <si>
    <t xml:space="preserve">Calculated — do not overtype</t>
  </si>
  <si>
    <t xml:space="preserve">Green number (SKU tab)</t>
  </si>
  <si>
    <t xml:space="preserve">Inherits this tab's default — overtype to override one SKU</t>
  </si>
  <si>
    <t xml:space="preserve">Orange block (SKU tab)</t>
  </si>
  <si>
    <t xml:space="preserve">Current market prices you entered — benchmark only, not used in costing</t>
  </si>
  <si>
    <t xml:space="preserve">Red Σ% cell (SKU tab)</t>
  </si>
  <si>
    <t xml:space="preserve">% fish + % marinade ≠ 100% — fix the split</t>
  </si>
  <si>
    <t xml:space="preserve">Grey row (SKU tab)</t>
  </si>
  <si>
    <t xml:space="preserve">Status = Inactive</t>
  </si>
  <si>
    <t xml:space="preserve">SKU Costing — DOMESTIC (LKR)  ·  cost build-up only (pricing tiers removed for now)</t>
  </si>
  <si>
    <t xml:space="preserve">Main body = base cost WITHOUT glaze. Enter Glaze % (col D) per SKU; the two end blocks show FINAL without vs with glaze — no need to duplicate SKUs.</t>
  </si>
  <si>
    <t xml:space="preserve">WITHOUT GLAZE</t>
  </si>
  <si>
    <t xml:space="preserve">WITH GLAZE</t>
  </si>
  <si>
    <t xml:space="preserve">SKU</t>
  </si>
  <si>
    <t xml:space="preserve">Status</t>
  </si>
  <si>
    <t xml:space="preserve">Category</t>
  </si>
  <si>
    <t xml:space="preserve">Glaze %
(unmarin.)</t>
  </si>
  <si>
    <t xml:space="preserve">Yield
%</t>
  </si>
  <si>
    <t xml:space="preserve">% fish</t>
  </si>
  <si>
    <t xml:space="preserve">% mar-
inade</t>
  </si>
  <si>
    <t xml:space="preserve">Σ %
chk</t>
  </si>
  <si>
    <t xml:space="preserve">Whole fish
LKR/kg</t>
  </si>
  <si>
    <t xml:space="preserve">Fish cost
comp LKR</t>
  </si>
  <si>
    <t xml:space="preserve">Marinade
$/kg</t>
  </si>
  <si>
    <t xml:space="preserve">Marinade
comp LKR</t>
  </si>
  <si>
    <t xml:space="preserve">Raw matl
LKR/kg</t>
  </si>
  <si>
    <t xml:space="preserve">Process
$/kg</t>
  </si>
  <si>
    <t xml:space="preserve">Packing
$/kg</t>
  </si>
  <si>
    <t xml:space="preserve">Cold-hold
LKR/kg</t>
  </si>
  <si>
    <t xml:space="preserve">Ex-factory
LKR/kg</t>
  </si>
  <si>
    <t xml:space="preserve">Freight
LKR/kg</t>
  </si>
  <si>
    <t xml:space="preserve">FINAL cost
LKR/kg</t>
  </si>
  <si>
    <t xml:space="preserve">Pack
size</t>
  </si>
  <si>
    <t xml:space="preserve">FINAL — no glaze
LKR/kg</t>
  </si>
  <si>
    <t xml:space="preserve">RACK RATE — no glaze
LKR/kg</t>
  </si>
  <si>
    <t xml:space="preserve">FINAL — glaze
LKR/kg</t>
  </si>
  <si>
    <t xml:space="preserve">RACK RATE — glaze
LKR/kg</t>
  </si>
  <si>
    <t xml:space="preserve">Whole round (ungutted)</t>
  </si>
  <si>
    <t xml:space="preserve">Active</t>
  </si>
  <si>
    <t xml:space="preserve">Whole</t>
  </si>
  <si>
    <t xml:space="preserve">Whole gutted (WG)</t>
  </si>
  <si>
    <t xml:space="preserve">Whole gilled &amp; gutted (WGG)</t>
  </si>
  <si>
    <t xml:space="preserve">Inactive</t>
  </si>
  <si>
    <t xml:space="preserve">Whole scaled &amp; gutted</t>
  </si>
  <si>
    <t xml:space="preserve">Steaks / darne (bone-in)</t>
  </si>
  <si>
    <t xml:space="preserve">500g</t>
  </si>
  <si>
    <t xml:space="preserve">Boat cut</t>
  </si>
  <si>
    <t xml:space="preserve">Butterfly cut</t>
  </si>
  <si>
    <t xml:space="preserve">Skin-on fillet</t>
  </si>
  <si>
    <t xml:space="preserve">Fillet</t>
  </si>
  <si>
    <t xml:space="preserve">Skinless boneless fillet</t>
  </si>
  <si>
    <t xml:space="preserve">Skinless fillet — premium trim</t>
  </si>
  <si>
    <t xml:space="preserve">Fillet portions — skin-on CC</t>
  </si>
  <si>
    <t xml:space="preserve">Fillet portions — skinless</t>
  </si>
  <si>
    <t xml:space="preserve">Tail portions — regular (70/130) s/on</t>
  </si>
  <si>
    <t xml:space="preserve">Tail portions — small (40/70) s/on</t>
  </si>
  <si>
    <t xml:space="preserve">Fish cubes / stir-fry</t>
  </si>
  <si>
    <t xml:space="preserve">Loin portions</t>
  </si>
  <si>
    <t xml:space="preserve">Belly flaps</t>
  </si>
  <si>
    <t xml:space="preserve">By-product</t>
  </si>
  <si>
    <t xml:space="preserve">Head</t>
  </si>
  <si>
    <t xml:space="preserve">Collar</t>
  </si>
  <si>
    <t xml:space="preserve">Fish frames / bones (stock)</t>
  </si>
  <si>
    <t xml:space="preserve">Fish skin (crispy / pet treat)</t>
  </si>
  <si>
    <t xml:space="preserve">Trimmings / mince</t>
  </si>
  <si>
    <t xml:space="preserve">Marinated fillet — lemon herb</t>
  </si>
  <si>
    <t xml:space="preserve">Value-added</t>
  </si>
  <si>
    <t xml:space="preserve">Marinated fillet — hot &amp; spicy</t>
  </si>
  <si>
    <t xml:space="preserve">Marinated portions — BBQ</t>
  </si>
  <si>
    <t xml:space="preserve">Marinated cubes — curry cut</t>
  </si>
  <si>
    <t xml:space="preserve">Teriyaki glazed portions</t>
  </si>
  <si>
    <t xml:space="preserve">Cajun skin-on fillet</t>
  </si>
  <si>
    <t xml:space="preserve">Crumbed / breaded fillet</t>
  </si>
  <si>
    <t xml:space="preserve">Battered fish fingers</t>
  </si>
  <si>
    <t xml:space="preserve">Fish sausages</t>
  </si>
  <si>
    <t xml:space="preserve">Fish meatballs</t>
  </si>
  <si>
    <t xml:space="preserve">Fish burger patties</t>
  </si>
  <si>
    <t xml:space="preserve">Smoked fillet</t>
  </si>
  <si>
    <t xml:space="preserve">Barramundi Costing &amp; Pricing — EXPORT (USD)</t>
  </si>
  <si>
    <t xml:space="preserve">Farm costs (feed, clearing, FCR, ODC) are INHERITED from the Domestic tab — no re-entry. Edit only yellow cells here: import tax (0), export adders, margins &amp; the value chain.</t>
  </si>
  <si>
    <t xml:space="preserve">1.  BASE FISH COST — USD   (farm costs inherited from Domestic; only tax differs)</t>
  </si>
  <si>
    <t xml:space="preserve">◄ from Domestic (edit there)</t>
  </si>
  <si>
    <t xml:space="preserve">◄ from Domestic</t>
  </si>
  <si>
    <t xml:space="preserve">EXPORT: nil — duty drawback  ◄ the ONLY base difference</t>
  </si>
  <si>
    <t xml:space="preserve">USD/kg feed incl. tax + clearing</t>
  </si>
  <si>
    <t xml:space="preserve">ODC — other direct costs</t>
  </si>
  <si>
    <t xml:space="preserve">◄ from Domestic (full breakdown there)</t>
  </si>
  <si>
    <t xml:space="preserve">USD/kg  ◄ feeds Export SKU tab</t>
  </si>
  <si>
    <t xml:space="preserve">FX rate (reference only)</t>
  </si>
  <si>
    <t xml:space="preserve">LKR per 1 USD — NOT used in export pricing</t>
  </si>
  <si>
    <t xml:space="preserve">Whole fish cost (LKR ref.)</t>
  </si>
  <si>
    <t xml:space="preserve">LKR/kg — reference cross-check only</t>
  </si>
  <si>
    <t xml:space="preserve">2.  COMMON PER-KG ADDERS  (USD/kg) — export-specific</t>
  </si>
  <si>
    <t xml:space="preserve">Freight to port</t>
  </si>
  <si>
    <t xml:space="preserve">USD/kg — factory→port (our cost, into FINAL)</t>
  </si>
  <si>
    <t xml:space="preserve">Cold-chain / holding</t>
  </si>
  <si>
    <t xml:space="preserve">USD/kg — reefer / cold storage</t>
  </si>
  <si>
    <t xml:space="preserve">3.  (legacy margin tiers removed — the FOB value-chain below is primary)</t>
  </si>
  <si>
    <t xml:space="preserve">4.  EXPORT VALUE CHAIN  (FOB → importer → distributor → T3)</t>
  </si>
  <si>
    <t xml:space="preserve">FOB — our margin (GM%)</t>
  </si>
  <si>
    <t xml:space="preserve">our gross margin on FINAL → FOB / rack rate</t>
  </si>
  <si>
    <t xml:space="preserve">Destination freight (legacy — superseded ▼)</t>
  </si>
  <si>
    <t xml:space="preserve">now driven by the Destinations table below</t>
  </si>
  <si>
    <t xml:space="preserve">Importer clearing %</t>
  </si>
  <si>
    <t xml:space="preserve">importer's clearing cost on CNF</t>
  </si>
  <si>
    <t xml:space="preserve">Importer markup %</t>
  </si>
  <si>
    <t xml:space="preserve">importer's markup to distributor</t>
  </si>
  <si>
    <t xml:space="preserve">Distributor markup %</t>
  </si>
  <si>
    <t xml:space="preserve">distributor's markup to T3 (restaurants/foodservice)</t>
  </si>
  <si>
    <t xml:space="preserve">Green cells are inherited from Domestic — edit them on the Domestic tab. To make an export cost genuinely differ, overtype the green cell (it breaks that link only).</t>
  </si>
  <si>
    <t xml:space="preserve">5.  DESTINATIONS — enter 20ft-container &amp; air-lot rates; per-kg auto-computed; CIF varies by port</t>
  </si>
  <si>
    <t xml:space="preserve">Selected destination ►</t>
  </si>
  <si>
    <t xml:space="preserve">Dubai (UAE)</t>
  </si>
  <si>
    <t xml:space="preserve">◄ pick a port; CIF below recomputes for it</t>
  </si>
  <si>
    <t xml:space="preserve">Sea freight (selected)</t>
  </si>
  <si>
    <t xml:space="preserve">USD/kg — frozen (sea)</t>
  </si>
  <si>
    <t xml:space="preserve">Air freight (selected)</t>
  </si>
  <si>
    <t xml:space="preserve">USD/kg — fresh (air)</t>
  </si>
  <si>
    <t xml:space="preserve">Container fill weight (kg)</t>
  </si>
  <si>
    <t xml:space="preserve">kg of product that fills one 20ft reefer (editable)</t>
  </si>
  <si>
    <t xml:space="preserve">Air lot weight (kg)</t>
  </si>
  <si>
    <t xml:space="preserve">kg per air consignment (editable)</t>
  </si>
  <si>
    <t xml:space="preserve">Destination</t>
  </si>
  <si>
    <t xml:space="preserve">Sea $ / 20ft</t>
  </si>
  <si>
    <t xml:space="preserve">Air $ / lot</t>
  </si>
  <si>
    <t xml:space="preserve">→ Sea $/kg</t>
  </si>
  <si>
    <t xml:space="preserve">→ Air $/kg</t>
  </si>
  <si>
    <t xml:space="preserve">Singapore</t>
  </si>
  <si>
    <t xml:space="preserve">Doha (Qatar)</t>
  </si>
  <si>
    <t xml:space="preserve">Male (Maldives)</t>
  </si>
  <si>
    <t xml:space="preserve">Hong Kong</t>
  </si>
  <si>
    <t xml:space="preserve">London (UK)</t>
  </si>
  <si>
    <t xml:space="preserve">Sydney (AU)</t>
  </si>
  <si>
    <t xml:space="preserve">New York (US)</t>
  </si>
  <si>
    <t xml:space="preserve">Melbourne (AU)</t>
  </si>
  <si>
    <t xml:space="preserve">Brisbane (AU)</t>
  </si>
  <si>
    <t xml:space="preserve">Perth (AU)</t>
  </si>
  <si>
    <t xml:space="preserve">Adelaide (AU)</t>
  </si>
  <si>
    <t xml:space="preserve">Los Angeles (US)</t>
  </si>
  <si>
    <t xml:space="preserve">Miami (US)</t>
  </si>
  <si>
    <t xml:space="preserve">Amsterdam (NL)</t>
  </si>
  <si>
    <t xml:space="preserve">Add more ports in the blank yellow rows above — the dropdown &amp; lookups already cover this range. Rates are PLACEHOLDER.</t>
  </si>
  <si>
    <t xml:space="preserve">SKU Costing — EXPORT (USD)  ·  cost build-up + FOB → CNF → Importer → Distributor→T3</t>
  </si>
  <si>
    <t xml:space="preserve">Main body = base cost WITHOUT glaze. Glaze % (col D) drives the WITH-GLAZE block (FINAL/FOB/Dist→T3). No duplicate SKUs needed.</t>
  </si>
  <si>
    <t xml:space="preserve">FROZEN · NO GLAZE  (sea)</t>
  </si>
  <si>
    <t xml:space="preserve">FROZEN · GLAZE  (sea)</t>
  </si>
  <si>
    <t xml:space="preserve">FRESH  (air)</t>
  </si>
  <si>
    <t xml:space="preserve">Whole fish
$/kg</t>
  </si>
  <si>
    <t xml:space="preserve">Fish cost
comp $</t>
  </si>
  <si>
    <t xml:space="preserve">Marinade
comp $</t>
  </si>
  <si>
    <t xml:space="preserve">Raw matl
$/kg</t>
  </si>
  <si>
    <t xml:space="preserve">Cold-hold
$/kg</t>
  </si>
  <si>
    <t xml:space="preserve">Ex-factory
$/kg</t>
  </si>
  <si>
    <t xml:space="preserve">Freight
$/kg</t>
  </si>
  <si>
    <t xml:space="preserve">FINAL cost
$/kg</t>
  </si>
  <si>
    <t xml:space="preserve">FINAL
$/kg</t>
  </si>
  <si>
    <t xml:space="preserve">FOB
$/kg</t>
  </si>
  <si>
    <t xml:space="preserve">CIF
$/kg</t>
  </si>
  <si>
    <t xml:space="preserve">Dist→T3
$/kg</t>
  </si>
  <si>
    <t xml:space="preserve">Generic to FOB; CIF adds the SELECTED destination's freight (sea for frozen, air for fresh) from Assumptions (Export). Change the destination there to re-price all rows. Dist→T3 = CIF ×(1+clearing)×(1+imp)×(1+dist).</t>
  </si>
  <si>
    <t xml:space="preserve">Fish Size </t>
  </si>
  <si>
    <t xml:space="preserve">7374 Center Cuts </t>
  </si>
  <si>
    <t xml:space="preserve">TP 70-130</t>
  </si>
  <si>
    <t xml:space="preserve">TP  40-70</t>
  </si>
  <si>
    <t xml:space="preserve">Total</t>
  </si>
  <si>
    <t xml:space="preserve">Skin off Fillets</t>
  </si>
  <si>
    <t xml:space="preserve">Skin on Fillets</t>
  </si>
  <si>
    <t xml:space="preserve">S/O Regular Portions </t>
  </si>
  <si>
    <t xml:space="preserve">Boat Cut</t>
  </si>
  <si>
    <t xml:space="preserve">Butterfly Cut</t>
  </si>
  <si>
    <t xml:space="preserve">Skin on D-Trim</t>
  </si>
  <si>
    <t xml:space="preserve">GG</t>
  </si>
  <si>
    <t xml:space="preserve">Whole Round Gill Bled</t>
  </si>
  <si>
    <t xml:space="preserve">7372 (F) 80/120g retail bag</t>
  </si>
  <si>
    <t xml:space="preserve">7370 ocean chef 3kg BTC</t>
  </si>
  <si>
    <t xml:space="preserve">7364 Skinless 100/200</t>
  </si>
  <si>
    <t xml:space="preserve">7365 Skinless 200/300</t>
  </si>
  <si>
    <t xml:space="preserve">7366 Skinless 300/500</t>
  </si>
  <si>
    <t xml:space="preserve">7376 Skin On 200/300</t>
  </si>
  <si>
    <t xml:space="preserve">7377 Skin On 300/500</t>
  </si>
  <si>
    <t xml:space="preserve">7390 Skin On Costco 2KG bag</t>
  </si>
  <si>
    <t xml:space="preserve">KM      Skin On 170/230 - 20% Glaze</t>
  </si>
  <si>
    <t xml:space="preserve">KM      Skin On 170/230 - 20% Glaze in pouch</t>
  </si>
  <si>
    <t xml:space="preserve">600g</t>
  </si>
  <si>
    <t xml:space="preserve">700g</t>
  </si>
  <si>
    <t xml:space="preserve">800g</t>
  </si>
  <si>
    <t xml:space="preserve">900g</t>
  </si>
  <si>
    <t xml:space="preserve">1kg</t>
  </si>
  <si>
    <t xml:space="preserve">1.1kg</t>
  </si>
  <si>
    <t xml:space="preserve">1.2kg</t>
  </si>
  <si>
    <t xml:space="preserve">1.3kg</t>
  </si>
  <si>
    <t xml:space="preserve">1.4kg</t>
  </si>
  <si>
    <t xml:space="preserve">1.5kg</t>
  </si>
  <si>
    <t xml:space="preserve">1.6kg</t>
  </si>
  <si>
    <t xml:space="preserve">1.7kg</t>
  </si>
  <si>
    <t xml:space="preserve">1.8kg</t>
  </si>
  <si>
    <t xml:space="preserve">1.9kg</t>
  </si>
  <si>
    <t xml:space="preserve">2.0kg</t>
  </si>
  <si>
    <t xml:space="preserve">2.1kg</t>
  </si>
  <si>
    <t xml:space="preserve">2.2kg</t>
  </si>
  <si>
    <t xml:space="preserve">2.3kg</t>
  </si>
  <si>
    <t xml:space="preserve">2.4kg</t>
  </si>
  <si>
    <t xml:space="preserve">2.5kg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</si>
</sst>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%"/>
    <numFmt numFmtId="166" formatCode="General"/>
    <numFmt numFmtId="167" formatCode="\$#,##0.00;&quot;($&quot;#,##0.00\);\-"/>
    <numFmt numFmtId="168" formatCode="0"/>
    <numFmt numFmtId="169" formatCode="0.00"/>
    <numFmt numFmtId="170" formatCode="\$#,##0.000"/>
    <numFmt numFmtId="171" formatCode="\$#,##0.000;&quot;($&quot;#,##0.000\);\-"/>
    <numFmt numFmtId="172" formatCode="#,##0.00"/>
    <numFmt numFmtId="173" formatCode="#,##0;\(#,##0\);\-"/>
    <numFmt numFmtId="174" formatCode="#,##0"/>
    <numFmt numFmtId="175" formatCode="0.0%"/>
    <numFmt numFmtId="176" formatCode="\$#,##0.00"/>
    <numFmt numFmtId="177" formatCode="\$#,##0;&quot;($&quot;#,##0\);\-"/>
    <numFmt numFmtId="178" formatCode="\$#,##0.000;&quot;($&quot;#,##0.000\);\-"/>
    <numFmt numFmtId="179" formatCode="_(\$* #,##0.00_);_(\$* \(#,##0.00\);_(\$* \-??_);_(@_)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9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843C0C"/>
      <name val="Arial"/>
      <family val="0"/>
      <charset val="1"/>
    </font>
    <font>
      <sz val="11"/>
      <color rgb="FF0070C0"/>
      <name val="Calibri"/>
      <family val="2"/>
      <charset val="1"/>
    </font>
    <font>
      <b val="true"/>
      <i val="true"/>
      <sz val="14"/>
      <color theme="0"/>
      <name val="Cambria"/>
      <family val="1"/>
      <charset val="1"/>
    </font>
    <font>
      <b val="true"/>
      <i val="true"/>
      <sz val="14"/>
      <color rgb="FF0070C0"/>
      <name val="Cambria"/>
      <family val="1"/>
      <charset val="1"/>
    </font>
    <font>
      <i val="true"/>
      <sz val="11"/>
      <color theme="1"/>
      <name val="Cambria"/>
      <family val="1"/>
      <charset val="1"/>
    </font>
    <font>
      <i val="true"/>
      <sz val="11"/>
      <color rgb="FF0070C0"/>
      <name val="Cambria"/>
      <family val="1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548235"/>
        <bgColor rgb="FF339966"/>
      </patternFill>
    </fill>
    <fill>
      <patternFill patternType="solid">
        <fgColor rgb="FF2E5496"/>
        <bgColor rgb="FF2E75B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BF1DE"/>
      </patternFill>
    </fill>
    <fill>
      <patternFill patternType="solid">
        <fgColor rgb="FFA9691F"/>
        <bgColor rgb="FFC55A11"/>
      </patternFill>
    </fill>
    <fill>
      <patternFill patternType="solid">
        <fgColor rgb="FF7A4B1E"/>
        <bgColor rgb="FF843C0C"/>
      </patternFill>
    </fill>
    <fill>
      <patternFill patternType="solid">
        <fgColor rgb="FF2E75B6"/>
        <bgColor rgb="FF0070C0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D6E4C4"/>
        <bgColor rgb="FFDDD9C3"/>
      </patternFill>
    </fill>
    <fill>
      <patternFill patternType="solid">
        <fgColor rgb="FFEBF1DE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C55A11"/>
        <bgColor rgb="FFA9691F"/>
      </patternFill>
    </fill>
    <fill>
      <patternFill patternType="solid">
        <fgColor theme="0"/>
        <bgColor rgb="FFF2F2F2"/>
      </patternFill>
    </fill>
    <fill>
      <patternFill patternType="solid">
        <fgColor theme="0" tint="-0.5"/>
        <bgColor rgb="FF8064A2"/>
      </patternFill>
    </fill>
    <fill>
      <patternFill patternType="solid">
        <fgColor theme="7"/>
        <bgColor rgb="FF808080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theme="2" tint="-0.1"/>
        <bgColor rgb="FFD6E4C4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2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1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3" fillId="1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1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16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21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16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6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19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9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16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21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6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1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6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16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6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ercent 2" xfId="21"/>
  </cellStyles>
  <dxfs count="20">
    <dxf>
      <fill>
        <patternFill patternType="solid">
          <fgColor rgb="FFA9691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D6E4C4"/>
          <bgColor rgb="FF000000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A6A6A6"/>
        <sz val="9"/>
      </font>
      <fill>
        <patternFill>
          <bgColor rgb="FFF2F2F2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A4B1E"/>
      <rgbColor rgb="FFFFF2CC"/>
      <rgbColor rgb="FFDDEBF7"/>
      <rgbColor rgb="FF660066"/>
      <rgbColor rgb="FFFF8080"/>
      <rgbColor rgb="FF0070C0"/>
      <rgbColor rgb="FFDDD9C3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EBF1DE"/>
      <rgbColor rgb="FFE2EFDA"/>
      <rgbColor rgb="FFFFE699"/>
      <rgbColor rgb="FFD6E4C4"/>
      <rgbColor rgb="FFFCE4D6"/>
      <rgbColor rgb="FFF2F2F2"/>
      <rgbColor rgb="FFFFC7CE"/>
      <rgbColor rgb="FF2E75B6"/>
      <rgbColor rgb="FF33CCCC"/>
      <rgbColor rgb="FF99CC00"/>
      <rgbColor rgb="FFFFCC00"/>
      <rgbColor rgb="FFBF8F00"/>
      <rgbColor rgb="FFC55A11"/>
      <rgbColor rgb="FF8064A2"/>
      <rgbColor rgb="FFA6A6A6"/>
      <rgbColor rgb="FF1F3864"/>
      <rgbColor rgb="FF339966"/>
      <rgbColor rgb="FF003300"/>
      <rgbColor rgb="FF333300"/>
      <rgbColor rgb="FF843C0C"/>
      <rgbColor rgb="FFA9691F"/>
      <rgbColor rgb="FF2E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6796875" defaultRowHeight="14.25" zeroHeight="false" outlineLevelRow="0" outlineLevelCol="0"/>
  <sheetData>
    <row r="2" customFormat="false" ht="14.25" hidden="false" customHeight="tru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customFormat="false" ht="14.25" hidden="false" customHeight="true" outlineLevel="0" collapsed="false">
      <c r="A3" s="3" t="s">
        <v>9</v>
      </c>
      <c r="B3" s="3" t="n">
        <v>50</v>
      </c>
      <c r="C3" s="3" t="n">
        <v>14</v>
      </c>
      <c r="D3" s="4" t="n">
        <v>0.01</v>
      </c>
      <c r="E3" s="3" t="n">
        <v>1.82</v>
      </c>
      <c r="F3" s="3" t="n">
        <f aca="false">+D3*E3</f>
        <v>0.0182</v>
      </c>
      <c r="G3" s="3" t="n">
        <v>1.653</v>
      </c>
      <c r="H3" s="3" t="n">
        <f aca="false">+G3*D3</f>
        <v>0.01653</v>
      </c>
    </row>
    <row r="4" customFormat="false" ht="14.25" hidden="false" customHeight="true" outlineLevel="0" collapsed="false">
      <c r="A4" s="3" t="s">
        <v>10</v>
      </c>
      <c r="B4" s="3" t="n">
        <v>50</v>
      </c>
      <c r="C4" s="3" t="n">
        <v>14</v>
      </c>
      <c r="D4" s="4" t="n">
        <v>0.01</v>
      </c>
      <c r="E4" s="3" t="n">
        <v>1.66</v>
      </c>
      <c r="F4" s="3" t="n">
        <f aca="false">+D4*E4</f>
        <v>0.0166</v>
      </c>
      <c r="G4" s="3" t="n">
        <v>1.614</v>
      </c>
      <c r="H4" s="3" t="n">
        <f aca="false">+G4*D4</f>
        <v>0.01614</v>
      </c>
    </row>
    <row r="5" customFormat="false" ht="14.25" hidden="false" customHeight="true" outlineLevel="0" collapsed="false">
      <c r="A5" s="3" t="s">
        <v>11</v>
      </c>
      <c r="B5" s="3" t="n">
        <v>50</v>
      </c>
      <c r="C5" s="3" t="n">
        <v>14</v>
      </c>
      <c r="D5" s="4" t="n">
        <v>0.04</v>
      </c>
      <c r="E5" s="3" t="n">
        <v>1.66</v>
      </c>
      <c r="F5" s="3" t="n">
        <f aca="false">+D5*E5</f>
        <v>0.0664</v>
      </c>
      <c r="G5" s="3" t="n">
        <v>1.614</v>
      </c>
      <c r="H5" s="3" t="n">
        <f aca="false">+G5*D5</f>
        <v>0.06456</v>
      </c>
    </row>
    <row r="6" customFormat="false" ht="14.25" hidden="false" customHeight="true" outlineLevel="0" collapsed="false">
      <c r="A6" s="3" t="s">
        <v>12</v>
      </c>
      <c r="B6" s="3" t="n">
        <v>45</v>
      </c>
      <c r="C6" s="3" t="n">
        <v>14</v>
      </c>
      <c r="D6" s="4" t="n">
        <v>0.05</v>
      </c>
      <c r="E6" s="3" t="n">
        <v>1.38</v>
      </c>
      <c r="F6" s="3" t="n">
        <f aca="false">+D6*E6</f>
        <v>0.069</v>
      </c>
      <c r="G6" s="3" t="n">
        <v>1.491</v>
      </c>
      <c r="H6" s="3" t="n">
        <f aca="false">+G6*D6</f>
        <v>0.07455</v>
      </c>
    </row>
    <row r="7" customFormat="false" ht="14.25" hidden="false" customHeight="true" outlineLevel="0" collapsed="false">
      <c r="A7" s="3" t="s">
        <v>13</v>
      </c>
      <c r="B7" s="3" t="n">
        <v>45</v>
      </c>
      <c r="C7" s="3" t="n">
        <v>14</v>
      </c>
      <c r="D7" s="4" t="n">
        <v>0.4</v>
      </c>
      <c r="E7" s="3" t="n">
        <v>1.35</v>
      </c>
      <c r="F7" s="3" t="n">
        <f aca="false">+D7*E7</f>
        <v>0.54</v>
      </c>
      <c r="G7" s="3" t="n">
        <v>1.491</v>
      </c>
      <c r="H7" s="3" t="n">
        <f aca="false">+G7*D7</f>
        <v>0.5964</v>
      </c>
    </row>
    <row r="8" customFormat="false" ht="14.25" hidden="false" customHeight="true" outlineLevel="0" collapsed="false">
      <c r="A8" s="3" t="s">
        <v>14</v>
      </c>
      <c r="B8" s="3" t="n">
        <v>42</v>
      </c>
      <c r="C8" s="3" t="n">
        <v>14</v>
      </c>
      <c r="D8" s="4" t="n">
        <v>0.5</v>
      </c>
      <c r="E8" s="3" t="n">
        <v>1.29</v>
      </c>
      <c r="F8" s="3" t="n">
        <f aca="false">+D8*E8</f>
        <v>0.645</v>
      </c>
      <c r="G8" s="3" t="n">
        <v>1.449</v>
      </c>
      <c r="H8" s="3" t="n">
        <f aca="false">+G8*D8</f>
        <v>0.7245</v>
      </c>
    </row>
    <row r="9" customFormat="false" ht="14.25" hidden="false" customHeight="true" outlineLevel="0" collapsed="false">
      <c r="F9" s="5" t="n">
        <f aca="false">SUM(F3:F8)</f>
        <v>1.3552</v>
      </c>
      <c r="H9" s="5" t="n">
        <f aca="false">SUM(H3:H8)</f>
        <v>1.49268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3" activeCellId="0" sqref="B1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3" width="30"/>
    <col collapsed="false" customWidth="true" hidden="false" outlineLevel="0" max="2" min="2" style="3" width="16"/>
    <col collapsed="false" customWidth="true" hidden="false" outlineLevel="0" max="3" min="3" style="3" width="52"/>
    <col collapsed="false" customWidth="true" hidden="false" outlineLevel="0" max="4" min="4" style="3" width="12"/>
    <col collapsed="false" customWidth="true" hidden="false" outlineLevel="0" max="11" min="5" style="3" width="11"/>
  </cols>
  <sheetData>
    <row r="1" customFormat="false" ht="25.5" hidden="false" customHeight="true" outlineLevel="0" collapsed="false">
      <c r="A1" s="6" t="s">
        <v>15</v>
      </c>
      <c r="B1" s="6"/>
      <c r="C1" s="6"/>
      <c r="D1" s="6"/>
    </row>
    <row r="2" customFormat="false" ht="15" hidden="false" customHeight="true" outlineLevel="0" collapsed="false">
      <c r="A2" s="7" t="s">
        <v>16</v>
      </c>
      <c r="B2" s="7"/>
      <c r="C2" s="7"/>
      <c r="D2" s="7"/>
    </row>
    <row r="3" customFormat="false" ht="14.25" hidden="false" customHeight="true" outlineLevel="0" collapsed="false">
      <c r="E3" s="8" t="s">
        <v>17</v>
      </c>
      <c r="F3" s="8"/>
      <c r="G3" s="8"/>
      <c r="H3" s="8"/>
      <c r="I3" s="8"/>
      <c r="J3" s="8"/>
      <c r="K3" s="8"/>
    </row>
    <row r="4" customFormat="false" ht="19.5" hidden="false" customHeight="true" outlineLevel="0" collapsed="false">
      <c r="A4" s="9" t="s">
        <v>18</v>
      </c>
      <c r="B4" s="9"/>
      <c r="C4" s="9"/>
      <c r="D4" s="9"/>
      <c r="E4" s="10" t="s">
        <v>19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" t="s">
        <v>25</v>
      </c>
    </row>
    <row r="5" customFormat="false" ht="15" hidden="false" customHeight="true" outlineLevel="0" collapsed="false">
      <c r="A5" s="11" t="s">
        <v>26</v>
      </c>
      <c r="B5" s="12" t="n">
        <v>1.35</v>
      </c>
      <c r="C5" s="13" t="s">
        <v>27</v>
      </c>
      <c r="D5" s="14" t="s">
        <v>28</v>
      </c>
      <c r="E5" s="15" t="n">
        <v>300</v>
      </c>
      <c r="F5" s="15" t="n">
        <v>700</v>
      </c>
      <c r="G5" s="15" t="n">
        <v>950</v>
      </c>
      <c r="H5" s="15" t="n">
        <v>1300</v>
      </c>
      <c r="I5" s="15" t="n">
        <v>1650</v>
      </c>
      <c r="J5" s="15" t="n">
        <v>2000</v>
      </c>
      <c r="K5" s="15" t="n">
        <v>3100</v>
      </c>
    </row>
    <row r="6" customFormat="false" ht="15" hidden="false" customHeight="true" outlineLevel="0" collapsed="false">
      <c r="A6" s="11" t="s">
        <v>29</v>
      </c>
      <c r="B6" s="12" t="n">
        <v>0.05</v>
      </c>
      <c r="C6" s="13" t="s">
        <v>30</v>
      </c>
    </row>
    <row r="7" customFormat="false" ht="15" hidden="false" customHeight="true" outlineLevel="0" collapsed="false">
      <c r="A7" s="11" t="s">
        <v>31</v>
      </c>
      <c r="B7" s="16" t="n">
        <v>0.35</v>
      </c>
      <c r="C7" s="13" t="s">
        <v>32</v>
      </c>
    </row>
    <row r="8" customFormat="false" ht="15" hidden="false" customHeight="true" outlineLevel="0" collapsed="false">
      <c r="A8" s="11" t="s">
        <v>33</v>
      </c>
      <c r="B8" s="17" t="n">
        <f aca="false">B5*(1+B7)+B6</f>
        <v>1.8725</v>
      </c>
      <c r="C8" s="13" t="s">
        <v>34</v>
      </c>
    </row>
    <row r="9" customFormat="false" ht="15" hidden="false" customHeight="true" outlineLevel="0" collapsed="false">
      <c r="A9" s="11" t="s">
        <v>35</v>
      </c>
      <c r="B9" s="18" t="n">
        <v>1.5</v>
      </c>
      <c r="C9" s="13" t="s">
        <v>36</v>
      </c>
      <c r="D9" s="14" t="s">
        <v>37</v>
      </c>
      <c r="E9" s="19" t="n">
        <v>1.1</v>
      </c>
      <c r="F9" s="19" t="n">
        <v>1.25</v>
      </c>
      <c r="G9" s="19" t="n">
        <v>1.35</v>
      </c>
      <c r="H9" s="19" t="n">
        <v>1.45</v>
      </c>
      <c r="I9" s="19" t="n">
        <v>1.55</v>
      </c>
      <c r="J9" s="19" t="n">
        <v>1.65</v>
      </c>
      <c r="K9" s="19" t="n">
        <v>1.75</v>
      </c>
    </row>
    <row r="10" customFormat="false" ht="15" hidden="false" customHeight="true" outlineLevel="0" collapsed="false">
      <c r="A10" s="11" t="s">
        <v>38</v>
      </c>
      <c r="B10" s="17" t="n">
        <f aca="false">B8*B9</f>
        <v>2.80875</v>
      </c>
      <c r="C10" s="13" t="s">
        <v>39</v>
      </c>
    </row>
    <row r="11" customFormat="false" ht="15" hidden="false" customHeight="true" outlineLevel="0" collapsed="false">
      <c r="A11" s="11" t="s">
        <v>40</v>
      </c>
      <c r="B11" s="12" t="n">
        <f aca="false">SUM(D12:D17)</f>
        <v>0.424705882352941</v>
      </c>
      <c r="C11" s="13" t="s">
        <v>41</v>
      </c>
      <c r="D11" s="14" t="s">
        <v>37</v>
      </c>
      <c r="E11" s="20" t="n">
        <f aca="false">($D$13+$D$14+$D$16+$D$17)+($D$12+$D$15)/(E5/1000)</f>
        <v>1.16862745098039</v>
      </c>
      <c r="F11" s="20" t="n">
        <f aca="false">($D$13+$D$14+$D$16+$D$17)+($D$12+$D$15)/(F5/1000)</f>
        <v>0.561344537815126</v>
      </c>
      <c r="G11" s="20" t="n">
        <f aca="false">($D$13+$D$14+$D$16+$D$17)+($D$12+$D$15)/(G5/1000)</f>
        <v>0.441486068111455</v>
      </c>
      <c r="H11" s="20" t="n">
        <f aca="false">($D$13+$D$14+$D$16+$D$17)+($D$12+$D$15)/(H5/1000)</f>
        <v>0.351131221719457</v>
      </c>
      <c r="I11" s="20" t="n">
        <f aca="false">($D$13+$D$14+$D$16+$D$17)+($D$12+$D$15)/(I5/1000)</f>
        <v>0.299108734402852</v>
      </c>
      <c r="J11" s="20" t="n">
        <f aca="false">($D$13+$D$14+$D$16+$D$17)+($D$12+$D$15)/(J5/1000)</f>
        <v>0.265294117647059</v>
      </c>
      <c r="K11" s="20" t="n">
        <f aca="false">($D$13+$D$14+$D$16+$D$17)+($D$12+$D$15)/(K5/1000)</f>
        <v>0.208728652751423</v>
      </c>
    </row>
    <row r="12" customFormat="false" ht="15" hidden="false" customHeight="true" outlineLevel="0" collapsed="false">
      <c r="A12" s="13" t="s">
        <v>42</v>
      </c>
      <c r="B12" s="18" t="n">
        <v>0.25</v>
      </c>
      <c r="C12" s="21" t="s">
        <v>43</v>
      </c>
      <c r="D12" s="22" t="n">
        <f aca="false">IF(C12="USD",B12,B12/$B$20)</f>
        <v>0.25</v>
      </c>
    </row>
    <row r="13" customFormat="false" ht="15" hidden="false" customHeight="true" outlineLevel="0" collapsed="false">
      <c r="A13" s="13" t="s">
        <v>44</v>
      </c>
      <c r="B13" s="18" t="n">
        <v>19</v>
      </c>
      <c r="C13" s="21" t="s">
        <v>45</v>
      </c>
      <c r="D13" s="22" t="n">
        <f aca="false">IF(C13="USD",B13,B13/$B$20)</f>
        <v>0.0558823529411765</v>
      </c>
    </row>
    <row r="14" customFormat="false" ht="15" hidden="false" customHeight="true" outlineLevel="0" collapsed="false">
      <c r="A14" s="13" t="s">
        <v>46</v>
      </c>
      <c r="B14" s="18" t="n">
        <v>12</v>
      </c>
      <c r="C14" s="21" t="s">
        <v>45</v>
      </c>
      <c r="D14" s="22" t="n">
        <f aca="false">IF(C14="USD",B14,B14/$B$20)</f>
        <v>0.0352941176470588</v>
      </c>
    </row>
    <row r="15" customFormat="false" ht="15" hidden="false" customHeight="true" outlineLevel="0" collapsed="false">
      <c r="A15" s="13" t="s">
        <v>47</v>
      </c>
      <c r="B15" s="18" t="n">
        <f aca="false">17.55/0.75</f>
        <v>23.4</v>
      </c>
      <c r="C15" s="21" t="s">
        <v>45</v>
      </c>
      <c r="D15" s="22" t="n">
        <f aca="false">IF(C15="USD",B15,B15/$B$20)</f>
        <v>0.0688235294117647</v>
      </c>
    </row>
    <row r="16" customFormat="false" ht="15" hidden="false" customHeight="true" outlineLevel="0" collapsed="false">
      <c r="A16" s="13" t="s">
        <v>48</v>
      </c>
      <c r="B16" s="18" t="n">
        <v>0</v>
      </c>
      <c r="C16" s="21" t="s">
        <v>43</v>
      </c>
      <c r="D16" s="22" t="n">
        <f aca="false">IF(C16="USD",B16,B16/$B$20)</f>
        <v>0</v>
      </c>
    </row>
    <row r="17" customFormat="false" ht="15" hidden="false" customHeight="true" outlineLevel="0" collapsed="false">
      <c r="A17" s="13" t="s">
        <v>49</v>
      </c>
      <c r="B17" s="18" t="n">
        <v>5</v>
      </c>
      <c r="C17" s="21" t="s">
        <v>45</v>
      </c>
      <c r="D17" s="22" t="n">
        <f aca="false">IF(C17="USD",B17,B17/$B$20)</f>
        <v>0.0147058823529412</v>
      </c>
    </row>
    <row r="18" customFormat="false" ht="15" hidden="false" customHeight="true" outlineLevel="0" collapsed="false">
      <c r="A18" s="23" t="s">
        <v>50</v>
      </c>
      <c r="B18" s="12"/>
      <c r="C18" s="13"/>
    </row>
    <row r="19" customFormat="false" ht="15" hidden="false" customHeight="true" outlineLevel="0" collapsed="false">
      <c r="A19" s="11" t="s">
        <v>51</v>
      </c>
      <c r="B19" s="24" t="n">
        <f aca="false">B10+B11</f>
        <v>3.23345588235294</v>
      </c>
      <c r="C19" s="13" t="s">
        <v>52</v>
      </c>
      <c r="D19" s="14" t="s">
        <v>37</v>
      </c>
      <c r="E19" s="20" t="n">
        <f aca="false">$B$8*E9+E11</f>
        <v>3.22837745098039</v>
      </c>
      <c r="F19" s="20" t="n">
        <f aca="false">$B$8*F9+F11</f>
        <v>2.90196953781513</v>
      </c>
      <c r="G19" s="20" t="n">
        <f aca="false">$B$8*G9+G11</f>
        <v>2.96936106811146</v>
      </c>
      <c r="H19" s="20" t="n">
        <f aca="false">$B$8*H9+H11</f>
        <v>3.06625622171946</v>
      </c>
      <c r="I19" s="20" t="n">
        <f aca="false">$B$8*I9+I11</f>
        <v>3.20148373440285</v>
      </c>
      <c r="J19" s="20" t="n">
        <f aca="false">$B$8*J9+J11</f>
        <v>3.35491911764706</v>
      </c>
      <c r="K19" s="20" t="n">
        <f aca="false">$B$8*K9+K11</f>
        <v>3.48560365275142</v>
      </c>
    </row>
    <row r="20" customFormat="false" ht="15" hidden="false" customHeight="true" outlineLevel="0" collapsed="false">
      <c r="A20" s="11" t="s">
        <v>53</v>
      </c>
      <c r="B20" s="25" t="n">
        <v>340</v>
      </c>
      <c r="C20" s="13" t="s">
        <v>54</v>
      </c>
    </row>
    <row r="21" customFormat="false" ht="15" hidden="false" customHeight="true" outlineLevel="0" collapsed="false">
      <c r="A21" s="11" t="s">
        <v>51</v>
      </c>
      <c r="B21" s="26" t="n">
        <f aca="false">B19*B20</f>
        <v>1099.375</v>
      </c>
      <c r="C21" s="13" t="s">
        <v>55</v>
      </c>
      <c r="D21" s="14" t="s">
        <v>37</v>
      </c>
      <c r="E21" s="27" t="n">
        <f aca="false">E19*$B$20</f>
        <v>1097.64833333333</v>
      </c>
      <c r="F21" s="27" t="n">
        <f aca="false">F19*$B$20</f>
        <v>986.669642857143</v>
      </c>
      <c r="G21" s="27" t="n">
        <f aca="false">G19*$B$20</f>
        <v>1009.58276315789</v>
      </c>
      <c r="H21" s="27" t="n">
        <f aca="false">H19*$B$20</f>
        <v>1042.52711538462</v>
      </c>
      <c r="I21" s="27" t="n">
        <f aca="false">I19*$B$20</f>
        <v>1088.50446969697</v>
      </c>
      <c r="J21" s="27" t="n">
        <f aca="false">J19*$B$20</f>
        <v>1140.6725</v>
      </c>
      <c r="K21" s="27" t="n">
        <f aca="false">K19*$B$20</f>
        <v>1185.10524193548</v>
      </c>
    </row>
    <row r="22" customFormat="false" ht="14.25" hidden="false" customHeight="true" outlineLevel="0" collapsed="false">
      <c r="A22" s="28" t="s">
        <v>56</v>
      </c>
      <c r="B22" s="28"/>
      <c r="C22" s="28"/>
      <c r="D22" s="28"/>
    </row>
    <row r="23" customFormat="false" ht="19.5" hidden="false" customHeight="true" outlineLevel="0" collapsed="false">
      <c r="A23" s="9" t="s">
        <v>57</v>
      </c>
      <c r="B23" s="9"/>
      <c r="C23" s="9"/>
      <c r="D23" s="9"/>
    </row>
    <row r="24" customFormat="false" ht="15" hidden="false" customHeight="true" outlineLevel="0" collapsed="false">
      <c r="A24" s="11" t="s">
        <v>58</v>
      </c>
      <c r="B24" s="29" t="n">
        <v>60</v>
      </c>
      <c r="C24" s="13" t="s">
        <v>59</v>
      </c>
    </row>
    <row r="25" customFormat="false" ht="15" hidden="false" customHeight="true" outlineLevel="0" collapsed="false">
      <c r="A25" s="11" t="s">
        <v>60</v>
      </c>
      <c r="B25" s="29" t="n">
        <v>40</v>
      </c>
      <c r="C25" s="13" t="s">
        <v>59</v>
      </c>
    </row>
    <row r="27" customFormat="false" ht="19.5" hidden="false" customHeight="true" outlineLevel="0" collapsed="false">
      <c r="A27" s="30" t="s">
        <v>61</v>
      </c>
      <c r="B27" s="30"/>
      <c r="C27" s="30"/>
      <c r="D27" s="30"/>
    </row>
    <row r="28" customFormat="false" ht="15" hidden="false" customHeight="true" outlineLevel="0" collapsed="false">
      <c r="A28" s="31" t="s">
        <v>62</v>
      </c>
      <c r="B28" s="31"/>
      <c r="C28" s="31"/>
      <c r="D28" s="31"/>
    </row>
    <row r="29" customFormat="false" ht="15" hidden="false" customHeight="true" outlineLevel="0" collapsed="false">
      <c r="A29" s="32"/>
      <c r="B29" s="33"/>
      <c r="C29" s="31"/>
      <c r="D29" s="34"/>
    </row>
    <row r="30" customFormat="false" ht="15" hidden="false" customHeight="true" outlineLevel="0" collapsed="false">
      <c r="A30" s="32"/>
      <c r="B30" s="33"/>
      <c r="C30" s="31"/>
      <c r="D30" s="34"/>
    </row>
    <row r="31" customFormat="false" ht="15" hidden="false" customHeight="true" outlineLevel="0" collapsed="false">
      <c r="A31" s="35"/>
      <c r="B31" s="35"/>
      <c r="C31" s="35"/>
      <c r="D31" s="35"/>
    </row>
    <row r="32" customFormat="false" ht="14.25" hidden="false" customHeight="true" outlineLevel="0" collapsed="false">
      <c r="A32" s="11" t="s">
        <v>63</v>
      </c>
      <c r="B32" s="36" t="n">
        <v>0.4</v>
      </c>
      <c r="C32" s="13" t="s">
        <v>64</v>
      </c>
    </row>
    <row r="33" customFormat="false" ht="19.5" hidden="false" customHeight="true" outlineLevel="0" collapsed="false">
      <c r="A33" s="9" t="s">
        <v>65</v>
      </c>
      <c r="B33" s="9"/>
      <c r="C33" s="9"/>
      <c r="D33" s="9"/>
    </row>
    <row r="34" customFormat="false" ht="15" hidden="false" customHeight="true" outlineLevel="0" collapsed="false">
      <c r="A34" s="11" t="s">
        <v>66</v>
      </c>
      <c r="B34" s="37" t="n">
        <f aca="false">COUNTIF('SKU Costing (Domestic)'!$B$4:$B$37,"Active")</f>
        <v>11</v>
      </c>
      <c r="C34" s="13" t="s">
        <v>67</v>
      </c>
    </row>
    <row r="35" customFormat="false" ht="15" hidden="false" customHeight="true" outlineLevel="0" collapsed="false">
      <c r="A35" s="11" t="s">
        <v>68</v>
      </c>
      <c r="B35" s="38" t="n">
        <f aca="false">COUNTIF('SKU Costing (Domestic)'!$B$4:$B$37,"Inactive")</f>
        <v>23</v>
      </c>
    </row>
    <row r="36" customFormat="false" ht="15" hidden="false" customHeight="true" outlineLevel="0" collapsed="false">
      <c r="A36" s="11" t="s">
        <v>69</v>
      </c>
      <c r="B36" s="38" t="n">
        <f aca="false">B34+B35</f>
        <v>34</v>
      </c>
    </row>
    <row r="38" customFormat="false" ht="19.5" hidden="false" customHeight="true" outlineLevel="0" collapsed="false">
      <c r="A38" s="9" t="s">
        <v>70</v>
      </c>
      <c r="B38" s="9"/>
      <c r="C38" s="9"/>
      <c r="D38" s="9"/>
    </row>
    <row r="39" customFormat="false" ht="15" hidden="false" customHeight="true" outlineLevel="0" collapsed="false">
      <c r="A39" s="39" t="s">
        <v>71</v>
      </c>
      <c r="B39" s="31" t="s">
        <v>72</v>
      </c>
      <c r="C39" s="31"/>
      <c r="D39" s="31"/>
    </row>
    <row r="40" customFormat="false" ht="15" hidden="false" customHeight="true" outlineLevel="0" collapsed="false">
      <c r="A40" s="40" t="s">
        <v>73</v>
      </c>
      <c r="B40" s="31" t="s">
        <v>74</v>
      </c>
      <c r="C40" s="31"/>
      <c r="D40" s="31"/>
    </row>
    <row r="41" customFormat="false" ht="15" hidden="false" customHeight="true" outlineLevel="0" collapsed="false">
      <c r="A41" s="41" t="s">
        <v>75</v>
      </c>
      <c r="B41" s="31" t="s">
        <v>76</v>
      </c>
      <c r="C41" s="31"/>
      <c r="D41" s="31"/>
    </row>
    <row r="42" customFormat="false" ht="15" hidden="false" customHeight="true" outlineLevel="0" collapsed="false">
      <c r="A42" s="42" t="s">
        <v>77</v>
      </c>
      <c r="B42" s="31" t="s">
        <v>78</v>
      </c>
      <c r="C42" s="31"/>
      <c r="D42" s="31"/>
    </row>
    <row r="43" customFormat="false" ht="15" hidden="false" customHeight="true" outlineLevel="0" collapsed="false">
      <c r="A43" s="43" t="s">
        <v>79</v>
      </c>
      <c r="B43" s="31" t="s">
        <v>80</v>
      </c>
      <c r="C43" s="31"/>
      <c r="D43" s="31"/>
    </row>
    <row r="44" customFormat="false" ht="15" hidden="false" customHeight="true" outlineLevel="0" collapsed="false">
      <c r="A44" s="44" t="s">
        <v>81</v>
      </c>
      <c r="B44" s="31" t="s">
        <v>82</v>
      </c>
      <c r="C44" s="31"/>
      <c r="D44" s="31"/>
    </row>
    <row r="47" customFormat="false" ht="14.25" hidden="false" customHeight="true" outlineLevel="0" collapsed="false">
      <c r="A47" s="3" t="n">
        <f aca="false">248946.7-63158</f>
        <v>185788.7</v>
      </c>
    </row>
    <row r="48" customFormat="false" ht="14.25" hidden="false" customHeight="true" outlineLevel="0" collapsed="false">
      <c r="A48" s="3" t="n">
        <f aca="false">+A47/1000000</f>
        <v>0.1857887</v>
      </c>
    </row>
    <row r="49" customFormat="false" ht="14.25" hidden="false" customHeight="true" outlineLevel="0" collapsed="false">
      <c r="A49" s="3" t="n">
        <f aca="false">+A48/0.75</f>
        <v>0.247718266666667</v>
      </c>
    </row>
  </sheetData>
  <mergeCells count="17">
    <mergeCell ref="A1:D1"/>
    <mergeCell ref="A2:D2"/>
    <mergeCell ref="E3:K3"/>
    <mergeCell ref="A4:D4"/>
    <mergeCell ref="A22:D22"/>
    <mergeCell ref="A23:D23"/>
    <mergeCell ref="A27:D27"/>
    <mergeCell ref="A28:D28"/>
    <mergeCell ref="A31:D31"/>
    <mergeCell ref="A33:D33"/>
    <mergeCell ref="A38:D38"/>
    <mergeCell ref="B39:D39"/>
    <mergeCell ref="B40:D40"/>
    <mergeCell ref="B41:D41"/>
    <mergeCell ref="B42:D42"/>
    <mergeCell ref="B43:D43"/>
    <mergeCell ref="B44:D44"/>
  </mergeCells>
  <dataValidations count="1">
    <dataValidation allowBlank="false" errorStyle="stop" operator="between" showDropDown="false" showErrorMessage="false" showInputMessage="false" sqref="C12:C17" type="list">
      <formula1>"LKR,USD"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6"/>
    <col collapsed="false" customWidth="true" hidden="false" outlineLevel="0" max="2" min="2" style="3" width="9"/>
    <col collapsed="false" customWidth="true" hidden="false" outlineLevel="0" max="3" min="3" style="3" width="12"/>
    <col collapsed="false" customWidth="true" hidden="false" outlineLevel="0" max="4" min="4" style="3" width="9"/>
    <col collapsed="false" customWidth="true" hidden="false" outlineLevel="0" max="7" min="5" style="3" width="7"/>
    <col collapsed="false" customWidth="true" hidden="false" outlineLevel="0" max="8" min="8" style="3" width="6"/>
    <col collapsed="false" customWidth="true" hidden="false" outlineLevel="0" max="10" min="9" style="3" width="10"/>
    <col collapsed="false" customWidth="true" hidden="false" outlineLevel="0" max="11" min="11" style="3" width="9"/>
    <col collapsed="false" customWidth="true" hidden="false" outlineLevel="0" max="13" min="12" style="3" width="10"/>
    <col collapsed="false" customWidth="true" hidden="false" outlineLevel="0" max="15" min="14" style="3" width="8"/>
    <col collapsed="false" customWidth="true" hidden="false" outlineLevel="0" max="16" min="16" style="3" width="9"/>
    <col collapsed="false" customWidth="true" hidden="false" outlineLevel="0" max="17" min="17" style="3" width="10"/>
    <col collapsed="false" customWidth="true" hidden="false" outlineLevel="0" max="18" min="18" style="3" width="8"/>
    <col collapsed="false" customWidth="true" hidden="false" outlineLevel="0" max="19" min="19" style="3" width="11"/>
    <col collapsed="false" customWidth="true" hidden="false" outlineLevel="0" max="20" min="20" style="3" width="9"/>
    <col collapsed="false" customWidth="true" hidden="false" outlineLevel="0" max="24" min="21" style="3" width="12"/>
  </cols>
  <sheetData>
    <row r="1" customFormat="false" ht="24" hidden="false" customHeight="true" outlineLevel="0" collapsed="false">
      <c r="A1" s="45" t="s">
        <v>83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customFormat="false" ht="15" hidden="false" customHeight="true" outlineLevel="0" collapsed="false">
      <c r="A2" s="31" t="s">
        <v>84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46" t="s">
        <v>85</v>
      </c>
      <c r="V2" s="46"/>
      <c r="W2" s="47" t="s">
        <v>86</v>
      </c>
      <c r="X2" s="47"/>
    </row>
    <row r="3" customFormat="false" ht="30" hidden="false" customHeight="true" outlineLevel="0" collapsed="false">
      <c r="A3" s="48" t="s">
        <v>87</v>
      </c>
      <c r="B3" s="48" t="s">
        <v>88</v>
      </c>
      <c r="C3" s="48" t="s">
        <v>89</v>
      </c>
      <c r="D3" s="49" t="s">
        <v>90</v>
      </c>
      <c r="E3" s="48" t="s">
        <v>91</v>
      </c>
      <c r="F3" s="48" t="s">
        <v>92</v>
      </c>
      <c r="G3" s="48" t="s">
        <v>93</v>
      </c>
      <c r="H3" s="48" t="s">
        <v>94</v>
      </c>
      <c r="I3" s="48" t="s">
        <v>95</v>
      </c>
      <c r="J3" s="48" t="s">
        <v>96</v>
      </c>
      <c r="K3" s="48" t="s">
        <v>97</v>
      </c>
      <c r="L3" s="48" t="s">
        <v>98</v>
      </c>
      <c r="M3" s="48" t="s">
        <v>99</v>
      </c>
      <c r="N3" s="48" t="s">
        <v>100</v>
      </c>
      <c r="O3" s="48" t="s">
        <v>101</v>
      </c>
      <c r="P3" s="48" t="s">
        <v>102</v>
      </c>
      <c r="Q3" s="48" t="s">
        <v>103</v>
      </c>
      <c r="R3" s="48" t="s">
        <v>104</v>
      </c>
      <c r="S3" s="48" t="s">
        <v>105</v>
      </c>
      <c r="T3" s="50" t="s">
        <v>106</v>
      </c>
      <c r="U3" s="49" t="s">
        <v>107</v>
      </c>
      <c r="V3" s="49" t="s">
        <v>108</v>
      </c>
      <c r="W3" s="51" t="s">
        <v>109</v>
      </c>
      <c r="X3" s="51" t="s">
        <v>110</v>
      </c>
    </row>
    <row r="4" customFormat="false" ht="15" hidden="false" customHeight="true" outlineLevel="0" collapsed="false">
      <c r="A4" s="52" t="s">
        <v>111</v>
      </c>
      <c r="B4" s="21" t="s">
        <v>112</v>
      </c>
      <c r="C4" s="53" t="s">
        <v>113</v>
      </c>
      <c r="D4" s="54" t="n">
        <v>0</v>
      </c>
      <c r="E4" s="54" t="n">
        <v>0.98</v>
      </c>
      <c r="F4" s="54" t="n">
        <v>1</v>
      </c>
      <c r="G4" s="54" t="n">
        <v>0</v>
      </c>
      <c r="H4" s="55" t="n">
        <f aca="false">F4+G4</f>
        <v>1</v>
      </c>
      <c r="I4" s="56" t="n">
        <f aca="false">'Assumptions (Domestic)'!$B$21</f>
        <v>1099.375</v>
      </c>
      <c r="J4" s="57" t="n">
        <f aca="false">IFERROR(F4*I4/E4,0)</f>
        <v>1121.8112244898</v>
      </c>
      <c r="K4" s="58" t="n">
        <v>0</v>
      </c>
      <c r="L4" s="57" t="n">
        <f aca="false">G4*K4*'Assumptions (Domestic)'!$B$20</f>
        <v>0</v>
      </c>
      <c r="M4" s="57" t="n">
        <f aca="false">J4+L4</f>
        <v>1121.8112244898</v>
      </c>
      <c r="N4" s="58" t="n">
        <v>0.4</v>
      </c>
      <c r="O4" s="58" t="n">
        <v>0.5</v>
      </c>
      <c r="P4" s="56" t="n">
        <f aca="false">'Assumptions (Domestic)'!$B$25</f>
        <v>40</v>
      </c>
      <c r="Q4" s="59" t="n">
        <f aca="false">M4+(N4+O4)*'Assumptions (Domestic)'!$B$20+P4</f>
        <v>1467.8112244898</v>
      </c>
      <c r="R4" s="56" t="n">
        <f aca="false">'Assumptions (Domestic)'!$B$24</f>
        <v>60</v>
      </c>
      <c r="S4" s="59" t="n">
        <f aca="false">Q4+R4</f>
        <v>1527.8112244898</v>
      </c>
      <c r="T4" s="60"/>
      <c r="U4" s="61" t="n">
        <f aca="false">S4</f>
        <v>1527.8112244898</v>
      </c>
      <c r="V4" s="61" t="n">
        <f aca="false">IFERROR(U4/(1-'Assumptions (Domestic)'!$B$32),0)</f>
        <v>2546.35204081633</v>
      </c>
      <c r="W4" s="62" t="n">
        <f aca="false">S4-J4*D4/(1+D4)</f>
        <v>1527.8112244898</v>
      </c>
      <c r="X4" s="62" t="n">
        <f aca="false">IFERROR(W4/(1-'Assumptions (Domestic)'!$B$32),0)</f>
        <v>2546.35204081633</v>
      </c>
    </row>
    <row r="5" customFormat="false" ht="15" hidden="false" customHeight="true" outlineLevel="0" collapsed="false">
      <c r="A5" s="52" t="s">
        <v>114</v>
      </c>
      <c r="B5" s="21" t="s">
        <v>112</v>
      </c>
      <c r="C5" s="53" t="s">
        <v>113</v>
      </c>
      <c r="D5" s="54" t="n">
        <v>0</v>
      </c>
      <c r="E5" s="54" t="n">
        <v>0.92</v>
      </c>
      <c r="F5" s="54" t="n">
        <v>1</v>
      </c>
      <c r="G5" s="54" t="n">
        <v>0</v>
      </c>
      <c r="H5" s="55" t="n">
        <f aca="false">F5+G5</f>
        <v>1</v>
      </c>
      <c r="I5" s="56" t="n">
        <f aca="false">'Assumptions (Domestic)'!$B$21</f>
        <v>1099.375</v>
      </c>
      <c r="J5" s="57" t="n">
        <f aca="false">IFERROR(F5*I5/E5,0)</f>
        <v>1194.97282608696</v>
      </c>
      <c r="K5" s="58" t="n">
        <v>0</v>
      </c>
      <c r="L5" s="57" t="n">
        <f aca="false">G5*K5*'Assumptions (Domestic)'!$B$20</f>
        <v>0</v>
      </c>
      <c r="M5" s="57" t="n">
        <f aca="false">J5+L5</f>
        <v>1194.97282608696</v>
      </c>
      <c r="N5" s="58" t="n">
        <v>0.45</v>
      </c>
      <c r="O5" s="58" t="n">
        <v>0.5</v>
      </c>
      <c r="P5" s="56" t="n">
        <f aca="false">'Assumptions (Domestic)'!$B$25</f>
        <v>40</v>
      </c>
      <c r="Q5" s="59" t="n">
        <f aca="false">M5+(N5+O5)*'Assumptions (Domestic)'!$B$20+P5</f>
        <v>1557.97282608696</v>
      </c>
      <c r="R5" s="56" t="n">
        <f aca="false">'Assumptions (Domestic)'!$B$24</f>
        <v>60</v>
      </c>
      <c r="S5" s="59" t="n">
        <f aca="false">Q5+R5</f>
        <v>1617.97282608696</v>
      </c>
      <c r="T5" s="60"/>
      <c r="U5" s="61" t="n">
        <f aca="false">S5</f>
        <v>1617.97282608696</v>
      </c>
      <c r="V5" s="61" t="n">
        <f aca="false">IFERROR(U5/(1-'Assumptions (Domestic)'!$B$32),0)</f>
        <v>2696.62137681159</v>
      </c>
      <c r="W5" s="62" t="n">
        <f aca="false">S5-J5*D5/(1+D5)</f>
        <v>1617.97282608696</v>
      </c>
      <c r="X5" s="62" t="n">
        <f aca="false">IFERROR(W5/(1-'Assumptions (Domestic)'!$B$32),0)</f>
        <v>2696.62137681159</v>
      </c>
    </row>
    <row r="6" customFormat="false" ht="15" hidden="false" customHeight="true" outlineLevel="0" collapsed="false">
      <c r="A6" s="52" t="s">
        <v>115</v>
      </c>
      <c r="B6" s="21" t="s">
        <v>116</v>
      </c>
      <c r="C6" s="53" t="s">
        <v>113</v>
      </c>
      <c r="D6" s="54" t="n">
        <v>0</v>
      </c>
      <c r="E6" s="54" t="n">
        <v>0.88</v>
      </c>
      <c r="F6" s="54" t="n">
        <v>1</v>
      </c>
      <c r="G6" s="54" t="n">
        <v>0</v>
      </c>
      <c r="H6" s="55" t="n">
        <f aca="false">F6+G6</f>
        <v>1</v>
      </c>
      <c r="I6" s="56" t="n">
        <f aca="false">'Assumptions (Domestic)'!$B$21</f>
        <v>1099.375</v>
      </c>
      <c r="J6" s="57" t="n">
        <f aca="false">IFERROR(F6*I6/E6,0)</f>
        <v>1249.28977272727</v>
      </c>
      <c r="K6" s="58" t="n">
        <v>0</v>
      </c>
      <c r="L6" s="57" t="n">
        <f aca="false">G6*K6*'Assumptions (Domestic)'!$B$20</f>
        <v>0</v>
      </c>
      <c r="M6" s="57" t="n">
        <f aca="false">J6+L6</f>
        <v>1249.28977272727</v>
      </c>
      <c r="N6" s="58" t="n">
        <v>0.5</v>
      </c>
      <c r="O6" s="58" t="n">
        <v>0.5</v>
      </c>
      <c r="P6" s="56" t="n">
        <f aca="false">'Assumptions (Domestic)'!$B$25</f>
        <v>40</v>
      </c>
      <c r="Q6" s="59" t="n">
        <f aca="false">M6+(N6+O6)*'Assumptions (Domestic)'!$B$20+P6</f>
        <v>1629.28977272727</v>
      </c>
      <c r="R6" s="56" t="n">
        <f aca="false">'Assumptions (Domestic)'!$B$24</f>
        <v>60</v>
      </c>
      <c r="S6" s="59" t="n">
        <f aca="false">Q6+R6</f>
        <v>1689.28977272727</v>
      </c>
      <c r="T6" s="60"/>
      <c r="U6" s="61" t="n">
        <f aca="false">S6</f>
        <v>1689.28977272727</v>
      </c>
      <c r="V6" s="61" t="n">
        <f aca="false">IFERROR(U6/(1-'Assumptions (Domestic)'!$B$32),0)</f>
        <v>2815.48295454546</v>
      </c>
      <c r="W6" s="62" t="n">
        <f aca="false">S6-J6*D6/(1+D6)</f>
        <v>1689.28977272727</v>
      </c>
      <c r="X6" s="62" t="n">
        <f aca="false">IFERROR(W6/(1-'Assumptions (Domestic)'!$B$32),0)</f>
        <v>2815.48295454546</v>
      </c>
    </row>
    <row r="7" customFormat="false" ht="15" hidden="false" customHeight="true" outlineLevel="0" collapsed="false">
      <c r="A7" s="52" t="s">
        <v>117</v>
      </c>
      <c r="B7" s="21" t="s">
        <v>112</v>
      </c>
      <c r="C7" s="53" t="s">
        <v>113</v>
      </c>
      <c r="D7" s="54" t="n">
        <v>0</v>
      </c>
      <c r="E7" s="54" t="n">
        <v>0.85</v>
      </c>
      <c r="F7" s="54" t="n">
        <v>1</v>
      </c>
      <c r="G7" s="54" t="n">
        <v>0</v>
      </c>
      <c r="H7" s="55" t="n">
        <f aca="false">F7+G7</f>
        <v>1</v>
      </c>
      <c r="I7" s="56" t="n">
        <f aca="false">'Assumptions (Domestic)'!$B$21</f>
        <v>1099.375</v>
      </c>
      <c r="J7" s="57" t="n">
        <f aca="false">IFERROR(F7*I7/E7,0)</f>
        <v>1293.38235294118</v>
      </c>
      <c r="K7" s="58" t="n">
        <v>0</v>
      </c>
      <c r="L7" s="57" t="n">
        <f aca="false">G7*K7*'Assumptions (Domestic)'!$B$20</f>
        <v>0</v>
      </c>
      <c r="M7" s="57" t="n">
        <f aca="false">J7+L7</f>
        <v>1293.38235294118</v>
      </c>
      <c r="N7" s="58" t="n">
        <v>0.6</v>
      </c>
      <c r="O7" s="58" t="n">
        <v>0.5</v>
      </c>
      <c r="P7" s="56" t="n">
        <f aca="false">'Assumptions (Domestic)'!$B$25</f>
        <v>40</v>
      </c>
      <c r="Q7" s="59" t="n">
        <f aca="false">M7+(N7+O7)*'Assumptions (Domestic)'!$B$20+P7</f>
        <v>1707.38235294118</v>
      </c>
      <c r="R7" s="56" t="n">
        <f aca="false">'Assumptions (Domestic)'!$B$24</f>
        <v>60</v>
      </c>
      <c r="S7" s="59" t="n">
        <f aca="false">Q7+R7</f>
        <v>1767.38235294118</v>
      </c>
      <c r="T7" s="60"/>
      <c r="U7" s="61" t="n">
        <f aca="false">S7</f>
        <v>1767.38235294118</v>
      </c>
      <c r="V7" s="61" t="n">
        <f aca="false">IFERROR(U7/(1-'Assumptions (Domestic)'!$B$32),0)</f>
        <v>2945.63725490196</v>
      </c>
      <c r="W7" s="62" t="n">
        <f aca="false">S7-J7*D7/(1+D7)</f>
        <v>1767.38235294118</v>
      </c>
      <c r="X7" s="62" t="n">
        <f aca="false">IFERROR(W7/(1-'Assumptions (Domestic)'!$B$32),0)</f>
        <v>2945.63725490196</v>
      </c>
    </row>
    <row r="8" customFormat="false" ht="15" hidden="false" customHeight="true" outlineLevel="0" collapsed="false">
      <c r="A8" s="52" t="s">
        <v>118</v>
      </c>
      <c r="B8" s="21" t="s">
        <v>112</v>
      </c>
      <c r="C8" s="53" t="s">
        <v>113</v>
      </c>
      <c r="D8" s="54" t="n">
        <v>0</v>
      </c>
      <c r="E8" s="54" t="n">
        <v>0.82</v>
      </c>
      <c r="F8" s="54" t="n">
        <v>1</v>
      </c>
      <c r="G8" s="54" t="n">
        <v>0</v>
      </c>
      <c r="H8" s="55" t="n">
        <f aca="false">F8+G8</f>
        <v>1</v>
      </c>
      <c r="I8" s="56" t="n">
        <f aca="false">'Assumptions (Domestic)'!$B$21</f>
        <v>1099.375</v>
      </c>
      <c r="J8" s="57" t="n">
        <f aca="false">IFERROR(F8*I8/E8,0)</f>
        <v>1340.7012195122</v>
      </c>
      <c r="K8" s="58" t="n">
        <v>0</v>
      </c>
      <c r="L8" s="57" t="n">
        <f aca="false">G8*K8*'Assumptions (Domestic)'!$B$20</f>
        <v>0</v>
      </c>
      <c r="M8" s="57" t="n">
        <f aca="false">J8+L8</f>
        <v>1340.7012195122</v>
      </c>
      <c r="N8" s="58" t="n">
        <v>0.45</v>
      </c>
      <c r="O8" s="58" t="n">
        <v>0.3</v>
      </c>
      <c r="P8" s="56" t="n">
        <f aca="false">'Assumptions (Domestic)'!$B$25</f>
        <v>40</v>
      </c>
      <c r="Q8" s="59" t="n">
        <f aca="false">M8+(N8+O8)*'Assumptions (Domestic)'!$B$20+P8</f>
        <v>1635.7012195122</v>
      </c>
      <c r="R8" s="56" t="n">
        <f aca="false">'Assumptions (Domestic)'!$B$24</f>
        <v>60</v>
      </c>
      <c r="S8" s="59" t="n">
        <f aca="false">Q8+R8</f>
        <v>1695.7012195122</v>
      </c>
      <c r="T8" s="60" t="s">
        <v>119</v>
      </c>
      <c r="U8" s="61" t="n">
        <f aca="false">S8</f>
        <v>1695.7012195122</v>
      </c>
      <c r="V8" s="61" t="n">
        <f aca="false">IFERROR(U8/(1-'Assumptions (Domestic)'!$B$32),0)</f>
        <v>2826.16869918699</v>
      </c>
      <c r="W8" s="62" t="n">
        <f aca="false">S8-J8*D8/(1+D8)</f>
        <v>1695.7012195122</v>
      </c>
      <c r="X8" s="62" t="n">
        <f aca="false">IFERROR(W8/(1-'Assumptions (Domestic)'!$B$32),0)</f>
        <v>2826.16869918699</v>
      </c>
    </row>
    <row r="9" customFormat="false" ht="15" hidden="false" customHeight="true" outlineLevel="0" collapsed="false">
      <c r="A9" s="52" t="s">
        <v>120</v>
      </c>
      <c r="B9" s="21" t="s">
        <v>116</v>
      </c>
      <c r="C9" s="53" t="s">
        <v>113</v>
      </c>
      <c r="D9" s="54" t="n">
        <v>0</v>
      </c>
      <c r="E9" s="54" t="n">
        <v>0.75</v>
      </c>
      <c r="F9" s="54" t="n">
        <v>1</v>
      </c>
      <c r="G9" s="54" t="n">
        <v>0</v>
      </c>
      <c r="H9" s="55" t="n">
        <f aca="false">F9+G9</f>
        <v>1</v>
      </c>
      <c r="I9" s="56" t="n">
        <f aca="false">'Assumptions (Domestic)'!$B$21</f>
        <v>1099.375</v>
      </c>
      <c r="J9" s="57" t="n">
        <f aca="false">IFERROR(F9*I9/E9,0)</f>
        <v>1465.83333333333</v>
      </c>
      <c r="K9" s="58" t="n">
        <v>0</v>
      </c>
      <c r="L9" s="57" t="n">
        <f aca="false">G9*K9*'Assumptions (Domestic)'!$B$20</f>
        <v>0</v>
      </c>
      <c r="M9" s="57" t="n">
        <f aca="false">J9+L9</f>
        <v>1465.83333333333</v>
      </c>
      <c r="N9" s="58" t="n">
        <v>0.55</v>
      </c>
      <c r="O9" s="58" t="n">
        <v>0.5</v>
      </c>
      <c r="P9" s="56" t="n">
        <f aca="false">'Assumptions (Domestic)'!$B$25</f>
        <v>40</v>
      </c>
      <c r="Q9" s="59" t="n">
        <f aca="false">M9+(N9+O9)*'Assumptions (Domestic)'!$B$20+P9</f>
        <v>1862.83333333333</v>
      </c>
      <c r="R9" s="56" t="n">
        <f aca="false">'Assumptions (Domestic)'!$B$24</f>
        <v>60</v>
      </c>
      <c r="S9" s="59" t="n">
        <f aca="false">Q9+R9</f>
        <v>1922.83333333333</v>
      </c>
      <c r="T9" s="60"/>
      <c r="U9" s="61" t="n">
        <f aca="false">S9</f>
        <v>1922.83333333333</v>
      </c>
      <c r="V9" s="61" t="n">
        <f aca="false">IFERROR(U9/(1-'Assumptions (Domestic)'!$B$32),0)</f>
        <v>3204.72222222222</v>
      </c>
      <c r="W9" s="62" t="n">
        <f aca="false">S9-J9*D9/(1+D9)</f>
        <v>1922.83333333333</v>
      </c>
      <c r="X9" s="62" t="n">
        <f aca="false">IFERROR(W9/(1-'Assumptions (Domestic)'!$B$32),0)</f>
        <v>3204.72222222222</v>
      </c>
    </row>
    <row r="10" customFormat="false" ht="15" hidden="false" customHeight="true" outlineLevel="0" collapsed="false">
      <c r="A10" s="52" t="s">
        <v>121</v>
      </c>
      <c r="B10" s="21" t="s">
        <v>116</v>
      </c>
      <c r="C10" s="53" t="s">
        <v>113</v>
      </c>
      <c r="D10" s="54" t="n">
        <v>0</v>
      </c>
      <c r="E10" s="54" t="n">
        <v>0.72</v>
      </c>
      <c r="F10" s="54" t="n">
        <v>1</v>
      </c>
      <c r="G10" s="54" t="n">
        <v>0</v>
      </c>
      <c r="H10" s="55" t="n">
        <f aca="false">F10+G10</f>
        <v>1</v>
      </c>
      <c r="I10" s="56" t="n">
        <f aca="false">'Assumptions (Domestic)'!$B$21</f>
        <v>1099.375</v>
      </c>
      <c r="J10" s="57" t="n">
        <f aca="false">IFERROR(F10*I10/E10,0)</f>
        <v>1526.90972222222</v>
      </c>
      <c r="K10" s="58" t="n">
        <v>0</v>
      </c>
      <c r="L10" s="57" t="n">
        <f aca="false">G10*K10*'Assumptions (Domestic)'!$B$20</f>
        <v>0</v>
      </c>
      <c r="M10" s="57" t="n">
        <f aca="false">J10+L10</f>
        <v>1526.90972222222</v>
      </c>
      <c r="N10" s="58" t="n">
        <v>0.55</v>
      </c>
      <c r="O10" s="58" t="n">
        <v>0.5</v>
      </c>
      <c r="P10" s="56" t="n">
        <f aca="false">'Assumptions (Domestic)'!$B$25</f>
        <v>40</v>
      </c>
      <c r="Q10" s="59" t="n">
        <f aca="false">M10+(N10+O10)*'Assumptions (Domestic)'!$B$20+P10</f>
        <v>1923.90972222222</v>
      </c>
      <c r="R10" s="56" t="n">
        <f aca="false">'Assumptions (Domestic)'!$B$24</f>
        <v>60</v>
      </c>
      <c r="S10" s="59" t="n">
        <f aca="false">Q10+R10</f>
        <v>1983.90972222222</v>
      </c>
      <c r="T10" s="60"/>
      <c r="U10" s="61" t="n">
        <f aca="false">S10</f>
        <v>1983.90972222222</v>
      </c>
      <c r="V10" s="61" t="n">
        <f aca="false">IFERROR(U10/(1-'Assumptions (Domestic)'!$B$32),0)</f>
        <v>3306.5162037037</v>
      </c>
      <c r="W10" s="62" t="n">
        <f aca="false">S10-J10*D10/(1+D10)</f>
        <v>1983.90972222222</v>
      </c>
      <c r="X10" s="62" t="n">
        <f aca="false">IFERROR(W10/(1-'Assumptions (Domestic)'!$B$32),0)</f>
        <v>3306.5162037037</v>
      </c>
    </row>
    <row r="11" customFormat="false" ht="15" hidden="false" customHeight="true" outlineLevel="0" collapsed="false">
      <c r="A11" s="52" t="s">
        <v>122</v>
      </c>
      <c r="B11" s="21" t="s">
        <v>112</v>
      </c>
      <c r="C11" s="63" t="s">
        <v>123</v>
      </c>
      <c r="D11" s="54" t="n">
        <v>0</v>
      </c>
      <c r="E11" s="54" t="n">
        <v>0.45</v>
      </c>
      <c r="F11" s="54" t="n">
        <v>1</v>
      </c>
      <c r="G11" s="54" t="n">
        <v>0</v>
      </c>
      <c r="H11" s="55" t="n">
        <f aca="false">F11+G11</f>
        <v>1</v>
      </c>
      <c r="I11" s="56" t="n">
        <f aca="false">'Assumptions (Domestic)'!$B$21</f>
        <v>1099.375</v>
      </c>
      <c r="J11" s="57" t="n">
        <f aca="false">IFERROR(F11*I11/E11,0)</f>
        <v>2443.05555555556</v>
      </c>
      <c r="K11" s="58" t="n">
        <v>0</v>
      </c>
      <c r="L11" s="57" t="n">
        <f aca="false">G11*K11*'Assumptions (Domestic)'!$B$20</f>
        <v>0</v>
      </c>
      <c r="M11" s="57" t="n">
        <f aca="false">J11+L11</f>
        <v>2443.05555555556</v>
      </c>
      <c r="N11" s="58" t="n">
        <v>1</v>
      </c>
      <c r="O11" s="58" t="n">
        <v>0.3</v>
      </c>
      <c r="P11" s="56" t="n">
        <f aca="false">'Assumptions (Domestic)'!$B$25</f>
        <v>40</v>
      </c>
      <c r="Q11" s="59" t="n">
        <f aca="false">M11+(N11+O11)*'Assumptions (Domestic)'!$B$20+P11</f>
        <v>2925.05555555556</v>
      </c>
      <c r="R11" s="56" t="n">
        <f aca="false">'Assumptions (Domestic)'!$B$24</f>
        <v>60</v>
      </c>
      <c r="S11" s="59" t="n">
        <f aca="false">Q11+R11</f>
        <v>2985.05555555556</v>
      </c>
      <c r="T11" s="60"/>
      <c r="U11" s="61" t="n">
        <f aca="false">S11</f>
        <v>2985.05555555556</v>
      </c>
      <c r="V11" s="61" t="n">
        <f aca="false">IFERROR(U11/(1-'Assumptions (Domestic)'!$B$32),0)</f>
        <v>4975.09259259259</v>
      </c>
      <c r="W11" s="62" t="n">
        <f aca="false">S11-J11*D11/(1+D11)</f>
        <v>2985.05555555556</v>
      </c>
      <c r="X11" s="62" t="n">
        <f aca="false">IFERROR(W11/(1-'Assumptions (Domestic)'!$B$32),0)</f>
        <v>4975.09259259259</v>
      </c>
    </row>
    <row r="12" customFormat="false" ht="15" hidden="false" customHeight="true" outlineLevel="0" collapsed="false">
      <c r="A12" s="52" t="s">
        <v>124</v>
      </c>
      <c r="B12" s="21" t="s">
        <v>112</v>
      </c>
      <c r="C12" s="63" t="s">
        <v>123</v>
      </c>
      <c r="D12" s="54" t="n">
        <v>0</v>
      </c>
      <c r="E12" s="54" t="n">
        <v>0.38</v>
      </c>
      <c r="F12" s="54" t="n">
        <v>1</v>
      </c>
      <c r="G12" s="54" t="n">
        <v>0</v>
      </c>
      <c r="H12" s="55" t="n">
        <f aca="false">F12+G12</f>
        <v>1</v>
      </c>
      <c r="I12" s="56" t="n">
        <f aca="false">'Assumptions (Domestic)'!$B$21</f>
        <v>1099.375</v>
      </c>
      <c r="J12" s="57" t="n">
        <f aca="false">IFERROR(F12*I12/E12,0)</f>
        <v>2893.09210526316</v>
      </c>
      <c r="K12" s="58" t="n">
        <v>0</v>
      </c>
      <c r="L12" s="57" t="n">
        <f aca="false">G12*K12*'Assumptions (Domestic)'!$B$20</f>
        <v>0</v>
      </c>
      <c r="M12" s="57" t="n">
        <f aca="false">J12+L12</f>
        <v>2893.09210526316</v>
      </c>
      <c r="N12" s="58" t="n">
        <v>1</v>
      </c>
      <c r="O12" s="58" t="n">
        <v>0.3</v>
      </c>
      <c r="P12" s="56" t="n">
        <f aca="false">'Assumptions (Domestic)'!$B$25</f>
        <v>40</v>
      </c>
      <c r="Q12" s="59" t="n">
        <f aca="false">M12+(N12+O12)*'Assumptions (Domestic)'!$B$20+P12</f>
        <v>3375.09210526316</v>
      </c>
      <c r="R12" s="56" t="n">
        <f aca="false">'Assumptions (Domestic)'!$B$24</f>
        <v>60</v>
      </c>
      <c r="S12" s="59" t="n">
        <f aca="false">Q12+R12</f>
        <v>3435.09210526316</v>
      </c>
      <c r="T12" s="60"/>
      <c r="U12" s="61" t="n">
        <f aca="false">S12</f>
        <v>3435.09210526316</v>
      </c>
      <c r="V12" s="61" t="n">
        <f aca="false">IFERROR(U12/(1-'Assumptions (Domestic)'!$B$32),0)</f>
        <v>5725.15350877193</v>
      </c>
      <c r="W12" s="62" t="n">
        <f aca="false">S12-J12*D12/(1+D12)</f>
        <v>3435.09210526316</v>
      </c>
      <c r="X12" s="62" t="n">
        <f aca="false">IFERROR(W12/(1-'Assumptions (Domestic)'!$B$32),0)</f>
        <v>5725.15350877193</v>
      </c>
    </row>
    <row r="13" customFormat="false" ht="15" hidden="false" customHeight="true" outlineLevel="0" collapsed="false">
      <c r="A13" s="52" t="s">
        <v>125</v>
      </c>
      <c r="B13" s="21" t="s">
        <v>116</v>
      </c>
      <c r="C13" s="63" t="s">
        <v>123</v>
      </c>
      <c r="D13" s="54" t="n">
        <v>0</v>
      </c>
      <c r="E13" s="54" t="n">
        <v>0.34</v>
      </c>
      <c r="F13" s="54" t="n">
        <v>1</v>
      </c>
      <c r="G13" s="54" t="n">
        <v>0</v>
      </c>
      <c r="H13" s="55" t="n">
        <f aca="false">F13+G13</f>
        <v>1</v>
      </c>
      <c r="I13" s="56" t="n">
        <f aca="false">'Assumptions (Domestic)'!$B$21</f>
        <v>1099.375</v>
      </c>
      <c r="J13" s="57" t="n">
        <f aca="false">IFERROR(F13*I13/E13,0)</f>
        <v>3233.45588235294</v>
      </c>
      <c r="K13" s="58" t="n">
        <v>0</v>
      </c>
      <c r="L13" s="57" t="n">
        <f aca="false">G13*K13*'Assumptions (Domestic)'!$B$20</f>
        <v>0</v>
      </c>
      <c r="M13" s="57" t="n">
        <f aca="false">J13+L13</f>
        <v>3233.45588235294</v>
      </c>
      <c r="N13" s="58" t="n">
        <v>1.25</v>
      </c>
      <c r="O13" s="58" t="n">
        <v>0.35</v>
      </c>
      <c r="P13" s="56" t="n">
        <f aca="false">'Assumptions (Domestic)'!$B$25</f>
        <v>40</v>
      </c>
      <c r="Q13" s="59" t="n">
        <f aca="false">M13+(N13+O13)*'Assumptions (Domestic)'!$B$20+P13</f>
        <v>3817.45588235294</v>
      </c>
      <c r="R13" s="56" t="n">
        <f aca="false">'Assumptions (Domestic)'!$B$24</f>
        <v>60</v>
      </c>
      <c r="S13" s="59" t="n">
        <f aca="false">Q13+R13</f>
        <v>3877.45588235294</v>
      </c>
      <c r="T13" s="60"/>
      <c r="U13" s="61" t="n">
        <f aca="false">S13</f>
        <v>3877.45588235294</v>
      </c>
      <c r="V13" s="61" t="n">
        <f aca="false">IFERROR(U13/(1-'Assumptions (Domestic)'!$B$32),0)</f>
        <v>6462.42647058824</v>
      </c>
      <c r="W13" s="62" t="n">
        <f aca="false">S13-J13*D13/(1+D13)</f>
        <v>3877.45588235294</v>
      </c>
      <c r="X13" s="62" t="n">
        <f aca="false">IFERROR(W13/(1-'Assumptions (Domestic)'!$B$32),0)</f>
        <v>6462.42647058824</v>
      </c>
    </row>
    <row r="14" customFormat="false" ht="15" hidden="false" customHeight="true" outlineLevel="0" collapsed="false">
      <c r="A14" s="52" t="s">
        <v>126</v>
      </c>
      <c r="B14" s="21" t="s">
        <v>112</v>
      </c>
      <c r="C14" s="63" t="s">
        <v>123</v>
      </c>
      <c r="D14" s="54" t="n">
        <v>0</v>
      </c>
      <c r="E14" s="54" t="n">
        <v>0.32</v>
      </c>
      <c r="F14" s="54" t="n">
        <v>1</v>
      </c>
      <c r="G14" s="54" t="n">
        <v>0</v>
      </c>
      <c r="H14" s="55" t="n">
        <f aca="false">F14+G14</f>
        <v>1</v>
      </c>
      <c r="I14" s="56" t="n">
        <f aca="false">'Assumptions (Domestic)'!$B$21</f>
        <v>1099.375</v>
      </c>
      <c r="J14" s="57" t="n">
        <f aca="false">IFERROR(F14*I14/E14,0)</f>
        <v>3435.546875</v>
      </c>
      <c r="K14" s="58" t="n">
        <v>0</v>
      </c>
      <c r="L14" s="57" t="n">
        <f aca="false">G14*K14*'Assumptions (Domestic)'!$B$20</f>
        <v>0</v>
      </c>
      <c r="M14" s="57" t="n">
        <f aca="false">J14+L14</f>
        <v>3435.546875</v>
      </c>
      <c r="N14" s="58" t="n">
        <v>1.15</v>
      </c>
      <c r="O14" s="58" t="n">
        <v>0.35</v>
      </c>
      <c r="P14" s="56" t="n">
        <f aca="false">'Assumptions (Domestic)'!$B$25</f>
        <v>40</v>
      </c>
      <c r="Q14" s="59" t="n">
        <f aca="false">M14+(N14+O14)*'Assumptions (Domestic)'!$B$20+P14</f>
        <v>3985.546875</v>
      </c>
      <c r="R14" s="56" t="n">
        <f aca="false">'Assumptions (Domestic)'!$B$24</f>
        <v>60</v>
      </c>
      <c r="S14" s="59" t="n">
        <f aca="false">Q14+R14</f>
        <v>4045.546875</v>
      </c>
      <c r="T14" s="60"/>
      <c r="U14" s="61" t="n">
        <f aca="false">S14</f>
        <v>4045.546875</v>
      </c>
      <c r="V14" s="61" t="n">
        <f aca="false">IFERROR(U14/(1-'Assumptions (Domestic)'!$B$32),0)</f>
        <v>6742.578125</v>
      </c>
      <c r="W14" s="62" t="n">
        <f aca="false">S14-J14*D14/(1+D14)</f>
        <v>4045.546875</v>
      </c>
      <c r="X14" s="62" t="n">
        <f aca="false">IFERROR(W14/(1-'Assumptions (Domestic)'!$B$32),0)</f>
        <v>6742.578125</v>
      </c>
    </row>
    <row r="15" customFormat="false" ht="15" hidden="false" customHeight="true" outlineLevel="0" collapsed="false">
      <c r="A15" s="52" t="s">
        <v>127</v>
      </c>
      <c r="B15" s="21" t="s">
        <v>116</v>
      </c>
      <c r="C15" s="63" t="s">
        <v>123</v>
      </c>
      <c r="D15" s="54" t="n">
        <v>0</v>
      </c>
      <c r="E15" s="54" t="n">
        <v>0.36</v>
      </c>
      <c r="F15" s="54" t="n">
        <v>1</v>
      </c>
      <c r="G15" s="54" t="n">
        <v>0</v>
      </c>
      <c r="H15" s="55" t="n">
        <f aca="false">F15+G15</f>
        <v>1</v>
      </c>
      <c r="I15" s="56" t="n">
        <f aca="false">'Assumptions (Domestic)'!$B$21</f>
        <v>1099.375</v>
      </c>
      <c r="J15" s="57" t="n">
        <f aca="false">IFERROR(F15*I15/E15,0)</f>
        <v>3053.81944444445</v>
      </c>
      <c r="K15" s="58" t="n">
        <v>0</v>
      </c>
      <c r="L15" s="57" t="n">
        <f aca="false">G15*K15*'Assumptions (Domestic)'!$B$20</f>
        <v>0</v>
      </c>
      <c r="M15" s="57" t="n">
        <f aca="false">J15+L15</f>
        <v>3053.81944444445</v>
      </c>
      <c r="N15" s="58" t="n">
        <v>1.15</v>
      </c>
      <c r="O15" s="58" t="n">
        <v>0.35</v>
      </c>
      <c r="P15" s="56" t="n">
        <f aca="false">'Assumptions (Domestic)'!$B$25</f>
        <v>40</v>
      </c>
      <c r="Q15" s="59" t="n">
        <f aca="false">M15+(N15+O15)*'Assumptions (Domestic)'!$B$20+P15</f>
        <v>3603.81944444445</v>
      </c>
      <c r="R15" s="56" t="n">
        <f aca="false">'Assumptions (Domestic)'!$B$24</f>
        <v>60</v>
      </c>
      <c r="S15" s="59" t="n">
        <f aca="false">Q15+R15</f>
        <v>3663.81944444445</v>
      </c>
      <c r="T15" s="60"/>
      <c r="U15" s="61" t="n">
        <f aca="false">S15</f>
        <v>3663.81944444445</v>
      </c>
      <c r="V15" s="61" t="n">
        <f aca="false">IFERROR(U15/(1-'Assumptions (Domestic)'!$B$32),0)</f>
        <v>6106.36574074074</v>
      </c>
      <c r="W15" s="62" t="n">
        <f aca="false">S15-J15*D15/(1+D15)</f>
        <v>3663.81944444445</v>
      </c>
      <c r="X15" s="62" t="n">
        <f aca="false">IFERROR(W15/(1-'Assumptions (Domestic)'!$B$32),0)</f>
        <v>6106.36574074074</v>
      </c>
    </row>
    <row r="16" customFormat="false" ht="15" hidden="false" customHeight="true" outlineLevel="0" collapsed="false">
      <c r="A16" s="52" t="s">
        <v>128</v>
      </c>
      <c r="B16" s="21" t="s">
        <v>112</v>
      </c>
      <c r="C16" s="63" t="s">
        <v>123</v>
      </c>
      <c r="D16" s="54" t="n">
        <v>0</v>
      </c>
      <c r="E16" s="54" t="n">
        <v>0.3</v>
      </c>
      <c r="F16" s="54" t="n">
        <v>1</v>
      </c>
      <c r="G16" s="54" t="n">
        <v>0</v>
      </c>
      <c r="H16" s="55" t="n">
        <f aca="false">F16+G16</f>
        <v>1</v>
      </c>
      <c r="I16" s="56" t="n">
        <f aca="false">'Assumptions (Domestic)'!$B$21</f>
        <v>1099.375</v>
      </c>
      <c r="J16" s="57" t="n">
        <f aca="false">IFERROR(F16*I16/E16,0)</f>
        <v>3664.58333333333</v>
      </c>
      <c r="K16" s="58" t="n">
        <v>0</v>
      </c>
      <c r="L16" s="57" t="n">
        <f aca="false">G16*K16*'Assumptions (Domestic)'!$B$20</f>
        <v>0</v>
      </c>
      <c r="M16" s="57" t="n">
        <f aca="false">J16+L16</f>
        <v>3664.58333333333</v>
      </c>
      <c r="N16" s="58" t="n">
        <v>1.15</v>
      </c>
      <c r="O16" s="58" t="n">
        <v>0.35</v>
      </c>
      <c r="P16" s="56" t="n">
        <f aca="false">'Assumptions (Domestic)'!$B$25</f>
        <v>40</v>
      </c>
      <c r="Q16" s="59" t="n">
        <f aca="false">M16+(N16+O16)*'Assumptions (Domestic)'!$B$20+P16</f>
        <v>4214.58333333333</v>
      </c>
      <c r="R16" s="56" t="n">
        <f aca="false">'Assumptions (Domestic)'!$B$24</f>
        <v>60</v>
      </c>
      <c r="S16" s="59" t="n">
        <f aca="false">Q16+R16</f>
        <v>4274.58333333333</v>
      </c>
      <c r="T16" s="60"/>
      <c r="U16" s="61" t="n">
        <f aca="false">S16</f>
        <v>4274.58333333333</v>
      </c>
      <c r="V16" s="61" t="n">
        <f aca="false">IFERROR(U16/(1-'Assumptions (Domestic)'!$B$32),0)</f>
        <v>7124.30555555556</v>
      </c>
      <c r="W16" s="62" t="n">
        <f aca="false">S16-J16*D16/(1+D16)</f>
        <v>4274.58333333333</v>
      </c>
      <c r="X16" s="62" t="n">
        <f aca="false">IFERROR(W16/(1-'Assumptions (Domestic)'!$B$32),0)</f>
        <v>7124.30555555556</v>
      </c>
    </row>
    <row r="17" customFormat="false" ht="15" hidden="false" customHeight="true" outlineLevel="0" collapsed="false">
      <c r="A17" s="52" t="s">
        <v>129</v>
      </c>
      <c r="B17" s="21" t="s">
        <v>112</v>
      </c>
      <c r="C17" s="63" t="s">
        <v>123</v>
      </c>
      <c r="D17" s="54" t="n">
        <v>0</v>
      </c>
      <c r="E17" s="54" t="n">
        <v>0.28</v>
      </c>
      <c r="F17" s="54" t="n">
        <v>1</v>
      </c>
      <c r="G17" s="54" t="n">
        <v>0</v>
      </c>
      <c r="H17" s="55" t="n">
        <f aca="false">F17+G17</f>
        <v>1</v>
      </c>
      <c r="I17" s="56" t="n">
        <f aca="false">'Assumptions (Domestic)'!$B$21</f>
        <v>1099.375</v>
      </c>
      <c r="J17" s="57" t="n">
        <f aca="false">IFERROR(F17*I17/E17,0)</f>
        <v>3926.33928571429</v>
      </c>
      <c r="K17" s="58" t="n">
        <v>0</v>
      </c>
      <c r="L17" s="57" t="n">
        <f aca="false">G17*K17*'Assumptions (Domestic)'!$B$20</f>
        <v>0</v>
      </c>
      <c r="M17" s="57" t="n">
        <f aca="false">J17+L17</f>
        <v>3926.33928571429</v>
      </c>
      <c r="N17" s="58" t="n">
        <v>1.2</v>
      </c>
      <c r="O17" s="58" t="n">
        <v>0.35</v>
      </c>
      <c r="P17" s="56" t="n">
        <f aca="false">'Assumptions (Domestic)'!$B$25</f>
        <v>40</v>
      </c>
      <c r="Q17" s="59" t="n">
        <f aca="false">M17+(N17+O17)*'Assumptions (Domestic)'!$B$20+P17</f>
        <v>4493.33928571429</v>
      </c>
      <c r="R17" s="56" t="n">
        <f aca="false">'Assumptions (Domestic)'!$B$24</f>
        <v>60</v>
      </c>
      <c r="S17" s="59" t="n">
        <f aca="false">Q17+R17</f>
        <v>4553.33928571429</v>
      </c>
      <c r="T17" s="60"/>
      <c r="U17" s="61" t="n">
        <f aca="false">S17</f>
        <v>4553.33928571429</v>
      </c>
      <c r="V17" s="61" t="n">
        <f aca="false">IFERROR(U17/(1-'Assumptions (Domestic)'!$B$32),0)</f>
        <v>7588.89880952381</v>
      </c>
      <c r="W17" s="62" t="n">
        <f aca="false">S17-J17*D17/(1+D17)</f>
        <v>4553.33928571429</v>
      </c>
      <c r="X17" s="62" t="n">
        <f aca="false">IFERROR(W17/(1-'Assumptions (Domestic)'!$B$32),0)</f>
        <v>7588.89880952381</v>
      </c>
    </row>
    <row r="18" customFormat="false" ht="15" hidden="false" customHeight="true" outlineLevel="0" collapsed="false">
      <c r="A18" s="52" t="s">
        <v>130</v>
      </c>
      <c r="B18" s="21" t="s">
        <v>112</v>
      </c>
      <c r="C18" s="63" t="s">
        <v>123</v>
      </c>
      <c r="D18" s="54" t="n">
        <v>0</v>
      </c>
      <c r="E18" s="54" t="n">
        <v>0.3</v>
      </c>
      <c r="F18" s="54" t="n">
        <v>1</v>
      </c>
      <c r="G18" s="54" t="n">
        <v>0</v>
      </c>
      <c r="H18" s="55" t="n">
        <f aca="false">F18+G18</f>
        <v>1</v>
      </c>
      <c r="I18" s="56" t="n">
        <f aca="false">'Assumptions (Domestic)'!$B$21</f>
        <v>1099.375</v>
      </c>
      <c r="J18" s="57" t="n">
        <f aca="false">IFERROR(F18*I18/E18,0)</f>
        <v>3664.58333333333</v>
      </c>
      <c r="K18" s="58" t="n">
        <v>0</v>
      </c>
      <c r="L18" s="57" t="n">
        <f aca="false">G18*K18*'Assumptions (Domestic)'!$B$20</f>
        <v>0</v>
      </c>
      <c r="M18" s="57" t="n">
        <f aca="false">J18+L18</f>
        <v>3664.58333333333</v>
      </c>
      <c r="N18" s="58" t="n">
        <v>1.15</v>
      </c>
      <c r="O18" s="58" t="n">
        <v>0.33</v>
      </c>
      <c r="P18" s="56" t="n">
        <f aca="false">'Assumptions (Domestic)'!$B$25</f>
        <v>40</v>
      </c>
      <c r="Q18" s="59" t="n">
        <f aca="false">M18+(N18+O18)*'Assumptions (Domestic)'!$B$20+P18</f>
        <v>4207.78333333334</v>
      </c>
      <c r="R18" s="56" t="n">
        <f aca="false">'Assumptions (Domestic)'!$B$24</f>
        <v>60</v>
      </c>
      <c r="S18" s="59" t="n">
        <f aca="false">Q18+R18</f>
        <v>4267.78333333334</v>
      </c>
      <c r="T18" s="60" t="s">
        <v>119</v>
      </c>
      <c r="U18" s="61" t="n">
        <f aca="false">S18</f>
        <v>4267.78333333334</v>
      </c>
      <c r="V18" s="61" t="n">
        <f aca="false">IFERROR(U18/(1-'Assumptions (Domestic)'!$B$32),0)</f>
        <v>7112.97222222222</v>
      </c>
      <c r="W18" s="62" t="n">
        <f aca="false">S18-J18*D18/(1+D18)</f>
        <v>4267.78333333334</v>
      </c>
      <c r="X18" s="62" t="n">
        <f aca="false">IFERROR(W18/(1-'Assumptions (Domestic)'!$B$32),0)</f>
        <v>7112.97222222222</v>
      </c>
    </row>
    <row r="19" customFormat="false" ht="15" hidden="false" customHeight="true" outlineLevel="0" collapsed="false">
      <c r="A19" s="52" t="s">
        <v>131</v>
      </c>
      <c r="B19" s="21" t="s">
        <v>116</v>
      </c>
      <c r="C19" s="63" t="s">
        <v>123</v>
      </c>
      <c r="D19" s="54" t="n">
        <v>0</v>
      </c>
      <c r="E19" s="54" t="n">
        <v>0.3</v>
      </c>
      <c r="F19" s="54" t="n">
        <v>1</v>
      </c>
      <c r="G19" s="54" t="n">
        <v>0</v>
      </c>
      <c r="H19" s="55" t="n">
        <f aca="false">F19+G19</f>
        <v>1</v>
      </c>
      <c r="I19" s="56" t="n">
        <f aca="false">'Assumptions (Domestic)'!$B$21</f>
        <v>1099.375</v>
      </c>
      <c r="J19" s="57" t="n">
        <f aca="false">IFERROR(F19*I19/E19,0)</f>
        <v>3664.58333333333</v>
      </c>
      <c r="K19" s="58" t="n">
        <v>0</v>
      </c>
      <c r="L19" s="57" t="n">
        <f aca="false">G19*K19*'Assumptions (Domestic)'!$B$20</f>
        <v>0</v>
      </c>
      <c r="M19" s="57" t="n">
        <f aca="false">J19+L19</f>
        <v>3664.58333333333</v>
      </c>
      <c r="N19" s="58" t="n">
        <v>1.15</v>
      </c>
      <c r="O19" s="58" t="n">
        <v>0.35</v>
      </c>
      <c r="P19" s="56" t="n">
        <f aca="false">'Assumptions (Domestic)'!$B$25</f>
        <v>40</v>
      </c>
      <c r="Q19" s="59" t="n">
        <f aca="false">M19+(N19+O19)*'Assumptions (Domestic)'!$B$20+P19</f>
        <v>4214.58333333333</v>
      </c>
      <c r="R19" s="56" t="n">
        <f aca="false">'Assumptions (Domestic)'!$B$24</f>
        <v>60</v>
      </c>
      <c r="S19" s="59" t="n">
        <f aca="false">Q19+R19</f>
        <v>4274.58333333333</v>
      </c>
      <c r="T19" s="60"/>
      <c r="U19" s="61" t="n">
        <f aca="false">S19</f>
        <v>4274.58333333333</v>
      </c>
      <c r="V19" s="61" t="n">
        <f aca="false">IFERROR(U19/(1-'Assumptions (Domestic)'!$B$32),0)</f>
        <v>7124.30555555556</v>
      </c>
      <c r="W19" s="62" t="n">
        <f aca="false">S19-J19*D19/(1+D19)</f>
        <v>4274.58333333333</v>
      </c>
      <c r="X19" s="62" t="n">
        <f aca="false">IFERROR(W19/(1-'Assumptions (Domestic)'!$B$32),0)</f>
        <v>7124.30555555556</v>
      </c>
    </row>
    <row r="20" customFormat="false" ht="15" hidden="false" customHeight="true" outlineLevel="0" collapsed="false">
      <c r="A20" s="52" t="s">
        <v>132</v>
      </c>
      <c r="B20" s="21" t="s">
        <v>112</v>
      </c>
      <c r="C20" s="64" t="s">
        <v>133</v>
      </c>
      <c r="D20" s="54" t="n">
        <v>0</v>
      </c>
      <c r="E20" s="54" t="n">
        <v>0.06</v>
      </c>
      <c r="F20" s="54" t="n">
        <v>1</v>
      </c>
      <c r="G20" s="54" t="n">
        <v>0</v>
      </c>
      <c r="H20" s="55" t="n">
        <f aca="false">F20+G20</f>
        <v>1</v>
      </c>
      <c r="I20" s="56" t="n">
        <f aca="false">'Assumptions (Domestic)'!$B$21</f>
        <v>1099.375</v>
      </c>
      <c r="J20" s="57" t="n">
        <f aca="false">IFERROR(F20*I20/E20,0)</f>
        <v>18322.9166666667</v>
      </c>
      <c r="K20" s="58" t="n">
        <v>0</v>
      </c>
      <c r="L20" s="57" t="n">
        <f aca="false">G20*K20*'Assumptions (Domestic)'!$B$20</f>
        <v>0</v>
      </c>
      <c r="M20" s="57" t="n">
        <f aca="false">J20+L20</f>
        <v>18322.9166666667</v>
      </c>
      <c r="N20" s="58" t="n">
        <v>0.2</v>
      </c>
      <c r="O20" s="58" t="n">
        <v>0.3</v>
      </c>
      <c r="P20" s="56" t="n">
        <f aca="false">'Assumptions (Domestic)'!$B$25</f>
        <v>40</v>
      </c>
      <c r="Q20" s="59" t="n">
        <f aca="false">M20+(N20+O20)*'Assumptions (Domestic)'!$B$20+P20</f>
        <v>18532.9166666667</v>
      </c>
      <c r="R20" s="56" t="n">
        <f aca="false">'Assumptions (Domestic)'!$B$24</f>
        <v>60</v>
      </c>
      <c r="S20" s="59" t="n">
        <f aca="false">Q20+R20</f>
        <v>18592.9166666667</v>
      </c>
      <c r="T20" s="60"/>
      <c r="U20" s="61" t="n">
        <f aca="false">S20</f>
        <v>18592.9166666667</v>
      </c>
      <c r="V20" s="61" t="n">
        <f aca="false">IFERROR(U20/(1-'Assumptions (Domestic)'!$B$32),0)</f>
        <v>30988.1944444445</v>
      </c>
      <c r="W20" s="62" t="n">
        <f aca="false">S20-J20*D20/(1+D20)</f>
        <v>18592.9166666667</v>
      </c>
      <c r="X20" s="62" t="n">
        <f aca="false">IFERROR(W20/(1-'Assumptions (Domestic)'!$B$32),0)</f>
        <v>30988.1944444445</v>
      </c>
    </row>
    <row r="21" customFormat="false" ht="15" hidden="false" customHeight="true" outlineLevel="0" collapsed="false">
      <c r="A21" s="52" t="s">
        <v>134</v>
      </c>
      <c r="B21" s="21" t="s">
        <v>116</v>
      </c>
      <c r="C21" s="64" t="s">
        <v>133</v>
      </c>
      <c r="D21" s="54" t="n">
        <v>0</v>
      </c>
      <c r="E21" s="54" t="n">
        <v>0.11</v>
      </c>
      <c r="F21" s="54" t="n">
        <v>1</v>
      </c>
      <c r="G21" s="54" t="n">
        <v>0</v>
      </c>
      <c r="H21" s="55" t="n">
        <f aca="false">F21+G21</f>
        <v>1</v>
      </c>
      <c r="I21" s="56" t="n">
        <f aca="false">'Assumptions (Domestic)'!$B$21</f>
        <v>1099.375</v>
      </c>
      <c r="J21" s="57" t="n">
        <f aca="false">IFERROR(F21*I21/E21,0)</f>
        <v>9994.31818181818</v>
      </c>
      <c r="K21" s="58" t="n">
        <v>0</v>
      </c>
      <c r="L21" s="57" t="n">
        <f aca="false">G21*K21*'Assumptions (Domestic)'!$B$20</f>
        <v>0</v>
      </c>
      <c r="M21" s="57" t="n">
        <f aca="false">J21+L21</f>
        <v>9994.31818181818</v>
      </c>
      <c r="N21" s="58" t="n">
        <v>0.2</v>
      </c>
      <c r="O21" s="58" t="n">
        <v>0.15</v>
      </c>
      <c r="P21" s="56" t="n">
        <f aca="false">'Assumptions (Domestic)'!$B$25</f>
        <v>40</v>
      </c>
      <c r="Q21" s="59" t="n">
        <f aca="false">M21+(N21+O21)*'Assumptions (Domestic)'!$B$20+P21</f>
        <v>10153.3181818182</v>
      </c>
      <c r="R21" s="56" t="n">
        <f aca="false">'Assumptions (Domestic)'!$B$24</f>
        <v>60</v>
      </c>
      <c r="S21" s="59" t="n">
        <f aca="false">Q21+R21</f>
        <v>10213.3181818182</v>
      </c>
      <c r="T21" s="60"/>
      <c r="U21" s="61" t="n">
        <f aca="false">S21</f>
        <v>10213.3181818182</v>
      </c>
      <c r="V21" s="61" t="n">
        <f aca="false">IFERROR(U21/(1-'Assumptions (Domestic)'!$B$32),0)</f>
        <v>17022.196969697</v>
      </c>
      <c r="W21" s="62" t="n">
        <f aca="false">S21-J21*D21/(1+D21)</f>
        <v>10213.3181818182</v>
      </c>
      <c r="X21" s="62" t="n">
        <f aca="false">IFERROR(W21/(1-'Assumptions (Domestic)'!$B$32),0)</f>
        <v>17022.196969697</v>
      </c>
    </row>
    <row r="22" customFormat="false" ht="15" hidden="false" customHeight="true" outlineLevel="0" collapsed="false">
      <c r="A22" s="52" t="s">
        <v>135</v>
      </c>
      <c r="B22" s="21" t="s">
        <v>116</v>
      </c>
      <c r="C22" s="64" t="s">
        <v>133</v>
      </c>
      <c r="D22" s="54" t="n">
        <v>0</v>
      </c>
      <c r="E22" s="54" t="n">
        <v>0.05</v>
      </c>
      <c r="F22" s="54" t="n">
        <v>1</v>
      </c>
      <c r="G22" s="54" t="n">
        <v>0</v>
      </c>
      <c r="H22" s="55" t="n">
        <f aca="false">F22+G22</f>
        <v>1</v>
      </c>
      <c r="I22" s="56" t="n">
        <f aca="false">'Assumptions (Domestic)'!$B$21</f>
        <v>1099.375</v>
      </c>
      <c r="J22" s="57" t="n">
        <f aca="false">IFERROR(F22*I22/E22,0)</f>
        <v>21987.5</v>
      </c>
      <c r="K22" s="58" t="n">
        <v>0</v>
      </c>
      <c r="L22" s="57" t="n">
        <f aca="false">G22*K22*'Assumptions (Domestic)'!$B$20</f>
        <v>0</v>
      </c>
      <c r="M22" s="57" t="n">
        <f aca="false">J22+L22</f>
        <v>21987.5</v>
      </c>
      <c r="N22" s="58" t="n">
        <v>0.4</v>
      </c>
      <c r="O22" s="58" t="n">
        <v>0.25</v>
      </c>
      <c r="P22" s="56" t="n">
        <f aca="false">'Assumptions (Domestic)'!$B$25</f>
        <v>40</v>
      </c>
      <c r="Q22" s="59" t="n">
        <f aca="false">M22+(N22+O22)*'Assumptions (Domestic)'!$B$20+P22</f>
        <v>22248.5</v>
      </c>
      <c r="R22" s="56" t="n">
        <f aca="false">'Assumptions (Domestic)'!$B$24</f>
        <v>60</v>
      </c>
      <c r="S22" s="59" t="n">
        <f aca="false">Q22+R22</f>
        <v>22308.5</v>
      </c>
      <c r="T22" s="60"/>
      <c r="U22" s="61" t="n">
        <f aca="false">S22</f>
        <v>22308.5</v>
      </c>
      <c r="V22" s="61" t="n">
        <f aca="false">IFERROR(U22/(1-'Assumptions (Domestic)'!$B$32),0)</f>
        <v>37180.8333333333</v>
      </c>
      <c r="W22" s="62" t="n">
        <f aca="false">S22-J22*D22/(1+D22)</f>
        <v>22308.5</v>
      </c>
      <c r="X22" s="62" t="n">
        <f aca="false">IFERROR(W22/(1-'Assumptions (Domestic)'!$B$32),0)</f>
        <v>37180.8333333333</v>
      </c>
    </row>
    <row r="23" customFormat="false" ht="15" hidden="false" customHeight="true" outlineLevel="0" collapsed="false">
      <c r="A23" s="52" t="s">
        <v>136</v>
      </c>
      <c r="B23" s="21" t="s">
        <v>116</v>
      </c>
      <c r="C23" s="64" t="s">
        <v>133</v>
      </c>
      <c r="D23" s="54" t="n">
        <v>0</v>
      </c>
      <c r="E23" s="54" t="n">
        <v>0.08</v>
      </c>
      <c r="F23" s="54" t="n">
        <v>1</v>
      </c>
      <c r="G23" s="54" t="n">
        <v>0</v>
      </c>
      <c r="H23" s="55" t="n">
        <f aca="false">F23+G23</f>
        <v>1</v>
      </c>
      <c r="I23" s="56" t="n">
        <f aca="false">'Assumptions (Domestic)'!$B$21</f>
        <v>1099.375</v>
      </c>
      <c r="J23" s="57" t="n">
        <f aca="false">IFERROR(F23*I23/E23,0)</f>
        <v>13742.1875</v>
      </c>
      <c r="K23" s="58" t="n">
        <v>0</v>
      </c>
      <c r="L23" s="57" t="n">
        <f aca="false">G23*K23*'Assumptions (Domestic)'!$B$20</f>
        <v>0</v>
      </c>
      <c r="M23" s="57" t="n">
        <f aca="false">J23+L23</f>
        <v>13742.1875</v>
      </c>
      <c r="N23" s="58" t="n">
        <v>0.1</v>
      </c>
      <c r="O23" s="58" t="n">
        <v>0.15</v>
      </c>
      <c r="P23" s="56" t="n">
        <f aca="false">'Assumptions (Domestic)'!$B$25</f>
        <v>40</v>
      </c>
      <c r="Q23" s="59" t="n">
        <f aca="false">M23+(N23+O23)*'Assumptions (Domestic)'!$B$20+P23</f>
        <v>13867.1875</v>
      </c>
      <c r="R23" s="56" t="n">
        <f aca="false">'Assumptions (Domestic)'!$B$24</f>
        <v>60</v>
      </c>
      <c r="S23" s="59" t="n">
        <f aca="false">Q23+R23</f>
        <v>13927.1875</v>
      </c>
      <c r="T23" s="60"/>
      <c r="U23" s="61" t="n">
        <f aca="false">S23</f>
        <v>13927.1875</v>
      </c>
      <c r="V23" s="61" t="n">
        <f aca="false">IFERROR(U23/(1-'Assumptions (Domestic)'!$B$32),0)</f>
        <v>23211.9791666667</v>
      </c>
      <c r="W23" s="62" t="n">
        <f aca="false">S23-J23*D23/(1+D23)</f>
        <v>13927.1875</v>
      </c>
      <c r="X23" s="62" t="n">
        <f aca="false">IFERROR(W23/(1-'Assumptions (Domestic)'!$B$32),0)</f>
        <v>23211.9791666667</v>
      </c>
    </row>
    <row r="24" customFormat="false" ht="15" hidden="false" customHeight="true" outlineLevel="0" collapsed="false">
      <c r="A24" s="52" t="s">
        <v>137</v>
      </c>
      <c r="B24" s="21" t="s">
        <v>116</v>
      </c>
      <c r="C24" s="64" t="s">
        <v>133</v>
      </c>
      <c r="D24" s="54" t="n">
        <v>0</v>
      </c>
      <c r="E24" s="54" t="n">
        <v>0.03</v>
      </c>
      <c r="F24" s="54" t="n">
        <v>1</v>
      </c>
      <c r="G24" s="54" t="n">
        <v>0</v>
      </c>
      <c r="H24" s="55" t="n">
        <f aca="false">F24+G24</f>
        <v>1</v>
      </c>
      <c r="I24" s="56" t="n">
        <f aca="false">'Assumptions (Domestic)'!$B$21</f>
        <v>1099.375</v>
      </c>
      <c r="J24" s="57" t="n">
        <f aca="false">IFERROR(F24*I24/E24,0)</f>
        <v>36645.8333333333</v>
      </c>
      <c r="K24" s="58" t="n">
        <v>0</v>
      </c>
      <c r="L24" s="57" t="n">
        <f aca="false">G24*K24*'Assumptions (Domestic)'!$B$20</f>
        <v>0</v>
      </c>
      <c r="M24" s="57" t="n">
        <f aca="false">J24+L24</f>
        <v>36645.8333333333</v>
      </c>
      <c r="N24" s="58" t="n">
        <v>0.2</v>
      </c>
      <c r="O24" s="58" t="n">
        <v>0.2</v>
      </c>
      <c r="P24" s="56" t="n">
        <f aca="false">'Assumptions (Domestic)'!$B$25</f>
        <v>40</v>
      </c>
      <c r="Q24" s="59" t="n">
        <f aca="false">M24+(N24+O24)*'Assumptions (Domestic)'!$B$20+P24</f>
        <v>36821.8333333333</v>
      </c>
      <c r="R24" s="56" t="n">
        <f aca="false">'Assumptions (Domestic)'!$B$24</f>
        <v>60</v>
      </c>
      <c r="S24" s="59" t="n">
        <f aca="false">Q24+R24</f>
        <v>36881.8333333333</v>
      </c>
      <c r="T24" s="60"/>
      <c r="U24" s="61" t="n">
        <f aca="false">S24</f>
        <v>36881.8333333333</v>
      </c>
      <c r="V24" s="61" t="n">
        <f aca="false">IFERROR(U24/(1-'Assumptions (Domestic)'!$B$32),0)</f>
        <v>61469.7222222222</v>
      </c>
      <c r="W24" s="62" t="n">
        <f aca="false">S24-J24*D24/(1+D24)</f>
        <v>36881.8333333333</v>
      </c>
      <c r="X24" s="62" t="n">
        <f aca="false">IFERROR(W24/(1-'Assumptions (Domestic)'!$B$32),0)</f>
        <v>61469.7222222222</v>
      </c>
    </row>
    <row r="25" customFormat="false" ht="15" hidden="false" customHeight="true" outlineLevel="0" collapsed="false">
      <c r="A25" s="52" t="s">
        <v>138</v>
      </c>
      <c r="B25" s="21" t="s">
        <v>116</v>
      </c>
      <c r="C25" s="64" t="s">
        <v>133</v>
      </c>
      <c r="D25" s="54" t="n">
        <v>0</v>
      </c>
      <c r="E25" s="54" t="n">
        <v>0.07</v>
      </c>
      <c r="F25" s="54" t="n">
        <v>1</v>
      </c>
      <c r="G25" s="54" t="n">
        <v>0</v>
      </c>
      <c r="H25" s="55" t="n">
        <f aca="false">F25+G25</f>
        <v>1</v>
      </c>
      <c r="I25" s="56" t="n">
        <f aca="false">'Assumptions (Domestic)'!$B$21</f>
        <v>1099.375</v>
      </c>
      <c r="J25" s="57" t="n">
        <f aca="false">IFERROR(F25*I25/E25,0)</f>
        <v>15705.3571428571</v>
      </c>
      <c r="K25" s="58" t="n">
        <v>0</v>
      </c>
      <c r="L25" s="57" t="n">
        <f aca="false">G25*K25*'Assumptions (Domestic)'!$B$20</f>
        <v>0</v>
      </c>
      <c r="M25" s="57" t="n">
        <f aca="false">J25+L25</f>
        <v>15705.3571428571</v>
      </c>
      <c r="N25" s="58" t="n">
        <v>0.2</v>
      </c>
      <c r="O25" s="58" t="n">
        <v>0.2</v>
      </c>
      <c r="P25" s="56" t="n">
        <f aca="false">'Assumptions (Domestic)'!$B$25</f>
        <v>40</v>
      </c>
      <c r="Q25" s="59" t="n">
        <f aca="false">M25+(N25+O25)*'Assumptions (Domestic)'!$B$20+P25</f>
        <v>15881.3571428571</v>
      </c>
      <c r="R25" s="56" t="n">
        <f aca="false">'Assumptions (Domestic)'!$B$24</f>
        <v>60</v>
      </c>
      <c r="S25" s="59" t="n">
        <f aca="false">Q25+R25</f>
        <v>15941.3571428571</v>
      </c>
      <c r="T25" s="60"/>
      <c r="U25" s="61" t="n">
        <f aca="false">S25</f>
        <v>15941.3571428571</v>
      </c>
      <c r="V25" s="61" t="n">
        <f aca="false">IFERROR(U25/(1-'Assumptions (Domestic)'!$B$32),0)</f>
        <v>26568.9285714286</v>
      </c>
      <c r="W25" s="62" t="n">
        <f aca="false">S25-J25*D25/(1+D25)</f>
        <v>15941.3571428571</v>
      </c>
      <c r="X25" s="62" t="n">
        <f aca="false">IFERROR(W25/(1-'Assumptions (Domestic)'!$B$32),0)</f>
        <v>26568.9285714286</v>
      </c>
    </row>
    <row r="26" customFormat="false" ht="15" hidden="false" customHeight="true" outlineLevel="0" collapsed="false">
      <c r="A26" s="52" t="s">
        <v>139</v>
      </c>
      <c r="B26" s="21" t="s">
        <v>116</v>
      </c>
      <c r="C26" s="65" t="s">
        <v>140</v>
      </c>
      <c r="D26" s="54" t="n">
        <v>0</v>
      </c>
      <c r="E26" s="54" t="n">
        <v>0.38</v>
      </c>
      <c r="F26" s="54" t="n">
        <v>0.82</v>
      </c>
      <c r="G26" s="54" t="n">
        <v>0.18</v>
      </c>
      <c r="H26" s="55" t="n">
        <f aca="false">F26+G26</f>
        <v>1</v>
      </c>
      <c r="I26" s="56" t="n">
        <f aca="false">'Assumptions (Domestic)'!$B$21</f>
        <v>1099.375</v>
      </c>
      <c r="J26" s="57" t="n">
        <f aca="false">IFERROR(F26*I26/E26,0)</f>
        <v>2372.33552631579</v>
      </c>
      <c r="K26" s="58" t="n">
        <v>1.8</v>
      </c>
      <c r="L26" s="57" t="n">
        <f aca="false">G26*K26*'Assumptions (Domestic)'!$B$20</f>
        <v>110.16</v>
      </c>
      <c r="M26" s="57" t="n">
        <f aca="false">J26+L26</f>
        <v>2482.49552631579</v>
      </c>
      <c r="N26" s="58" t="n">
        <v>1.4</v>
      </c>
      <c r="O26" s="58" t="n">
        <v>0.45</v>
      </c>
      <c r="P26" s="56" t="n">
        <f aca="false">'Assumptions (Domestic)'!$B$25</f>
        <v>40</v>
      </c>
      <c r="Q26" s="59" t="n">
        <f aca="false">M26+(N26+O26)*'Assumptions (Domestic)'!$B$20+P26</f>
        <v>3151.49552631579</v>
      </c>
      <c r="R26" s="56" t="n">
        <f aca="false">'Assumptions (Domestic)'!$B$24</f>
        <v>60</v>
      </c>
      <c r="S26" s="59" t="n">
        <f aca="false">Q26+R26</f>
        <v>3211.49552631579</v>
      </c>
      <c r="T26" s="60"/>
      <c r="U26" s="61" t="n">
        <f aca="false">S26</f>
        <v>3211.49552631579</v>
      </c>
      <c r="V26" s="61" t="n">
        <f aca="false">IFERROR(U26/(1-'Assumptions (Domestic)'!$B$32),0)</f>
        <v>5352.49254385965</v>
      </c>
      <c r="W26" s="62" t="n">
        <f aca="false">S26-J26*D26/(1+D26)</f>
        <v>3211.49552631579</v>
      </c>
      <c r="X26" s="62" t="n">
        <f aca="false">IFERROR(W26/(1-'Assumptions (Domestic)'!$B$32),0)</f>
        <v>5352.49254385965</v>
      </c>
    </row>
    <row r="27" customFormat="false" ht="15" hidden="false" customHeight="true" outlineLevel="0" collapsed="false">
      <c r="A27" s="52" t="s">
        <v>141</v>
      </c>
      <c r="B27" s="21" t="s">
        <v>116</v>
      </c>
      <c r="C27" s="65" t="s">
        <v>140</v>
      </c>
      <c r="D27" s="54" t="n">
        <v>0</v>
      </c>
      <c r="E27" s="54" t="n">
        <v>0.38</v>
      </c>
      <c r="F27" s="54" t="n">
        <v>0.82</v>
      </c>
      <c r="G27" s="54" t="n">
        <v>0.18</v>
      </c>
      <c r="H27" s="55" t="n">
        <f aca="false">F27+G27</f>
        <v>1</v>
      </c>
      <c r="I27" s="56" t="n">
        <f aca="false">'Assumptions (Domestic)'!$B$21</f>
        <v>1099.375</v>
      </c>
      <c r="J27" s="57" t="n">
        <f aca="false">IFERROR(F27*I27/E27,0)</f>
        <v>2372.33552631579</v>
      </c>
      <c r="K27" s="58" t="n">
        <v>1.6</v>
      </c>
      <c r="L27" s="57" t="n">
        <f aca="false">G27*K27*'Assumptions (Domestic)'!$B$20</f>
        <v>97.92</v>
      </c>
      <c r="M27" s="57" t="n">
        <f aca="false">J27+L27</f>
        <v>2470.25552631579</v>
      </c>
      <c r="N27" s="58" t="n">
        <v>1.4</v>
      </c>
      <c r="O27" s="58" t="n">
        <v>0.45</v>
      </c>
      <c r="P27" s="56" t="n">
        <f aca="false">'Assumptions (Domestic)'!$B$25</f>
        <v>40</v>
      </c>
      <c r="Q27" s="59" t="n">
        <f aca="false">M27+(N27+O27)*'Assumptions (Domestic)'!$B$20+P27</f>
        <v>3139.25552631579</v>
      </c>
      <c r="R27" s="56" t="n">
        <f aca="false">'Assumptions (Domestic)'!$B$24</f>
        <v>60</v>
      </c>
      <c r="S27" s="59" t="n">
        <f aca="false">Q27+R27</f>
        <v>3199.25552631579</v>
      </c>
      <c r="T27" s="60"/>
      <c r="U27" s="61" t="n">
        <f aca="false">S27</f>
        <v>3199.25552631579</v>
      </c>
      <c r="V27" s="61" t="n">
        <f aca="false">IFERROR(U27/(1-'Assumptions (Domestic)'!$B$32),0)</f>
        <v>5332.09254385965</v>
      </c>
      <c r="W27" s="62" t="n">
        <f aca="false">S27-J27*D27/(1+D27)</f>
        <v>3199.25552631579</v>
      </c>
      <c r="X27" s="62" t="n">
        <f aca="false">IFERROR(W27/(1-'Assumptions (Domestic)'!$B$32),0)</f>
        <v>5332.09254385965</v>
      </c>
    </row>
    <row r="28" customFormat="false" ht="15" hidden="false" customHeight="true" outlineLevel="0" collapsed="false">
      <c r="A28" s="52" t="s">
        <v>142</v>
      </c>
      <c r="B28" s="21" t="s">
        <v>116</v>
      </c>
      <c r="C28" s="65" t="s">
        <v>140</v>
      </c>
      <c r="D28" s="54" t="n">
        <v>0</v>
      </c>
      <c r="E28" s="54" t="n">
        <v>0.36</v>
      </c>
      <c r="F28" s="54" t="n">
        <v>0.8</v>
      </c>
      <c r="G28" s="54" t="n">
        <v>0.2</v>
      </c>
      <c r="H28" s="55" t="n">
        <f aca="false">F28+G28</f>
        <v>1</v>
      </c>
      <c r="I28" s="56" t="n">
        <f aca="false">'Assumptions (Domestic)'!$B$21</f>
        <v>1099.375</v>
      </c>
      <c r="J28" s="57" t="n">
        <f aca="false">IFERROR(F28*I28/E28,0)</f>
        <v>2443.05555555556</v>
      </c>
      <c r="K28" s="58" t="n">
        <v>1.7</v>
      </c>
      <c r="L28" s="57" t="n">
        <f aca="false">G28*K28*'Assumptions (Domestic)'!$B$20</f>
        <v>115.6</v>
      </c>
      <c r="M28" s="57" t="n">
        <f aca="false">J28+L28</f>
        <v>2558.65555555556</v>
      </c>
      <c r="N28" s="58" t="n">
        <v>1.3</v>
      </c>
      <c r="O28" s="58" t="n">
        <v>0.45</v>
      </c>
      <c r="P28" s="56" t="n">
        <f aca="false">'Assumptions (Domestic)'!$B$25</f>
        <v>40</v>
      </c>
      <c r="Q28" s="59" t="n">
        <f aca="false">M28+(N28+O28)*'Assumptions (Domestic)'!$B$20+P28</f>
        <v>3193.65555555556</v>
      </c>
      <c r="R28" s="56" t="n">
        <f aca="false">'Assumptions (Domestic)'!$B$24</f>
        <v>60</v>
      </c>
      <c r="S28" s="59" t="n">
        <f aca="false">Q28+R28</f>
        <v>3253.65555555556</v>
      </c>
      <c r="T28" s="60"/>
      <c r="U28" s="61" t="n">
        <f aca="false">S28</f>
        <v>3253.65555555556</v>
      </c>
      <c r="V28" s="61" t="n">
        <f aca="false">IFERROR(U28/(1-'Assumptions (Domestic)'!$B$32),0)</f>
        <v>5422.75925925926</v>
      </c>
      <c r="W28" s="62" t="n">
        <f aca="false">S28-J28*D28/(1+D28)</f>
        <v>3253.65555555556</v>
      </c>
      <c r="X28" s="62" t="n">
        <f aca="false">IFERROR(W28/(1-'Assumptions (Domestic)'!$B$32),0)</f>
        <v>5422.75925925926</v>
      </c>
    </row>
    <row r="29" customFormat="false" ht="15" hidden="false" customHeight="true" outlineLevel="0" collapsed="false">
      <c r="A29" s="52" t="s">
        <v>143</v>
      </c>
      <c r="B29" s="21" t="s">
        <v>116</v>
      </c>
      <c r="C29" s="65" t="s">
        <v>140</v>
      </c>
      <c r="D29" s="54" t="n">
        <v>0</v>
      </c>
      <c r="E29" s="54" t="n">
        <v>0.35</v>
      </c>
      <c r="F29" s="54" t="n">
        <v>0.78</v>
      </c>
      <c r="G29" s="54" t="n">
        <v>0.22</v>
      </c>
      <c r="H29" s="55" t="n">
        <f aca="false">F29+G29</f>
        <v>1</v>
      </c>
      <c r="I29" s="56" t="n">
        <f aca="false">'Assumptions (Domestic)'!$B$21</f>
        <v>1099.375</v>
      </c>
      <c r="J29" s="57" t="n">
        <f aca="false">IFERROR(F29*I29/E29,0)</f>
        <v>2450.03571428571</v>
      </c>
      <c r="K29" s="58" t="n">
        <v>1.5</v>
      </c>
      <c r="L29" s="57" t="n">
        <f aca="false">G29*K29*'Assumptions (Domestic)'!$B$20</f>
        <v>112.2</v>
      </c>
      <c r="M29" s="57" t="n">
        <f aca="false">J29+L29</f>
        <v>2562.23571428571</v>
      </c>
      <c r="N29" s="58" t="n">
        <v>1.35</v>
      </c>
      <c r="O29" s="58" t="n">
        <v>0.45</v>
      </c>
      <c r="P29" s="56" t="n">
        <f aca="false">'Assumptions (Domestic)'!$B$25</f>
        <v>40</v>
      </c>
      <c r="Q29" s="59" t="n">
        <f aca="false">M29+(N29+O29)*'Assumptions (Domestic)'!$B$20+P29</f>
        <v>3214.23571428571</v>
      </c>
      <c r="R29" s="56" t="n">
        <f aca="false">'Assumptions (Domestic)'!$B$24</f>
        <v>60</v>
      </c>
      <c r="S29" s="59" t="n">
        <f aca="false">Q29+R29</f>
        <v>3274.23571428571</v>
      </c>
      <c r="T29" s="60"/>
      <c r="U29" s="61" t="n">
        <f aca="false">S29</f>
        <v>3274.23571428571</v>
      </c>
      <c r="V29" s="61" t="n">
        <f aca="false">IFERROR(U29/(1-'Assumptions (Domestic)'!$B$32),0)</f>
        <v>5457.05952380953</v>
      </c>
      <c r="W29" s="62" t="n">
        <f aca="false">S29-J29*D29/(1+D29)</f>
        <v>3274.23571428571</v>
      </c>
      <c r="X29" s="62" t="n">
        <f aca="false">IFERROR(W29/(1-'Assumptions (Domestic)'!$B$32),0)</f>
        <v>5457.05952380953</v>
      </c>
    </row>
    <row r="30" customFormat="false" ht="15" hidden="false" customHeight="true" outlineLevel="0" collapsed="false">
      <c r="A30" s="52" t="s">
        <v>144</v>
      </c>
      <c r="B30" s="21" t="s">
        <v>116</v>
      </c>
      <c r="C30" s="65" t="s">
        <v>140</v>
      </c>
      <c r="D30" s="54" t="n">
        <v>0</v>
      </c>
      <c r="E30" s="54" t="n">
        <v>0.36</v>
      </c>
      <c r="F30" s="54" t="n">
        <v>0.78</v>
      </c>
      <c r="G30" s="54" t="n">
        <v>0.22</v>
      </c>
      <c r="H30" s="55" t="n">
        <f aca="false">F30+G30</f>
        <v>1</v>
      </c>
      <c r="I30" s="56" t="n">
        <f aca="false">'Assumptions (Domestic)'!$B$21</f>
        <v>1099.375</v>
      </c>
      <c r="J30" s="57" t="n">
        <f aca="false">IFERROR(F30*I30/E30,0)</f>
        <v>2381.97916666667</v>
      </c>
      <c r="K30" s="58" t="n">
        <v>2.2</v>
      </c>
      <c r="L30" s="57" t="n">
        <f aca="false">G30*K30*'Assumptions (Domestic)'!$B$20</f>
        <v>164.56</v>
      </c>
      <c r="M30" s="57" t="n">
        <f aca="false">J30+L30</f>
        <v>2546.53916666667</v>
      </c>
      <c r="N30" s="58" t="n">
        <v>1.45</v>
      </c>
      <c r="O30" s="58" t="n">
        <v>0.5</v>
      </c>
      <c r="P30" s="56" t="n">
        <f aca="false">'Assumptions (Domestic)'!$B$25</f>
        <v>40</v>
      </c>
      <c r="Q30" s="59" t="n">
        <f aca="false">M30+(N30+O30)*'Assumptions (Domestic)'!$B$20+P30</f>
        <v>3249.53916666667</v>
      </c>
      <c r="R30" s="56" t="n">
        <f aca="false">'Assumptions (Domestic)'!$B$24</f>
        <v>60</v>
      </c>
      <c r="S30" s="59" t="n">
        <f aca="false">Q30+R30</f>
        <v>3309.53916666667</v>
      </c>
      <c r="T30" s="60"/>
      <c r="U30" s="61" t="n">
        <f aca="false">S30</f>
        <v>3309.53916666667</v>
      </c>
      <c r="V30" s="61" t="n">
        <f aca="false">IFERROR(U30/(1-'Assumptions (Domestic)'!$B$32),0)</f>
        <v>5515.89861111111</v>
      </c>
      <c r="W30" s="62" t="n">
        <f aca="false">S30-J30*D30/(1+D30)</f>
        <v>3309.53916666667</v>
      </c>
      <c r="X30" s="62" t="n">
        <f aca="false">IFERROR(W30/(1-'Assumptions (Domestic)'!$B$32),0)</f>
        <v>5515.89861111111</v>
      </c>
    </row>
    <row r="31" customFormat="false" ht="15" hidden="false" customHeight="true" outlineLevel="0" collapsed="false">
      <c r="A31" s="52" t="s">
        <v>145</v>
      </c>
      <c r="B31" s="21" t="s">
        <v>116</v>
      </c>
      <c r="C31" s="65" t="s">
        <v>140</v>
      </c>
      <c r="D31" s="54" t="n">
        <v>0</v>
      </c>
      <c r="E31" s="54" t="n">
        <v>0.45</v>
      </c>
      <c r="F31" s="54" t="n">
        <v>0.85</v>
      </c>
      <c r="G31" s="54" t="n">
        <v>0.15</v>
      </c>
      <c r="H31" s="55" t="n">
        <f aca="false">F31+G31</f>
        <v>1</v>
      </c>
      <c r="I31" s="56" t="n">
        <f aca="false">'Assumptions (Domestic)'!$B$21</f>
        <v>1099.375</v>
      </c>
      <c r="J31" s="57" t="n">
        <f aca="false">IFERROR(F31*I31/E31,0)</f>
        <v>2076.59722222222</v>
      </c>
      <c r="K31" s="58" t="n">
        <v>1.9</v>
      </c>
      <c r="L31" s="57" t="n">
        <f aca="false">G31*K31*'Assumptions (Domestic)'!$B$20</f>
        <v>96.9</v>
      </c>
      <c r="M31" s="57" t="n">
        <f aca="false">J31+L31</f>
        <v>2173.49722222222</v>
      </c>
      <c r="N31" s="58" t="n">
        <v>1.2</v>
      </c>
      <c r="O31" s="58" t="n">
        <v>0.45</v>
      </c>
      <c r="P31" s="56" t="n">
        <f aca="false">'Assumptions (Domestic)'!$B$25</f>
        <v>40</v>
      </c>
      <c r="Q31" s="59" t="n">
        <f aca="false">M31+(N31+O31)*'Assumptions (Domestic)'!$B$20+P31</f>
        <v>2774.49722222222</v>
      </c>
      <c r="R31" s="56" t="n">
        <f aca="false">'Assumptions (Domestic)'!$B$24</f>
        <v>60</v>
      </c>
      <c r="S31" s="59" t="n">
        <f aca="false">Q31+R31</f>
        <v>2834.49722222222</v>
      </c>
      <c r="T31" s="60"/>
      <c r="U31" s="61" t="n">
        <f aca="false">S31</f>
        <v>2834.49722222222</v>
      </c>
      <c r="V31" s="61" t="n">
        <f aca="false">IFERROR(U31/(1-'Assumptions (Domestic)'!$B$32),0)</f>
        <v>4724.16203703704</v>
      </c>
      <c r="W31" s="62" t="n">
        <f aca="false">S31-J31*D31/(1+D31)</f>
        <v>2834.49722222222</v>
      </c>
      <c r="X31" s="62" t="n">
        <f aca="false">IFERROR(W31/(1-'Assumptions (Domestic)'!$B$32),0)</f>
        <v>4724.16203703704</v>
      </c>
    </row>
    <row r="32" customFormat="false" ht="15" hidden="false" customHeight="true" outlineLevel="0" collapsed="false">
      <c r="A32" s="52" t="s">
        <v>146</v>
      </c>
      <c r="B32" s="21" t="s">
        <v>116</v>
      </c>
      <c r="C32" s="65" t="s">
        <v>140</v>
      </c>
      <c r="D32" s="54" t="n">
        <v>0</v>
      </c>
      <c r="E32" s="54" t="n">
        <v>0.38</v>
      </c>
      <c r="F32" s="54" t="n">
        <v>0.7</v>
      </c>
      <c r="G32" s="54" t="n">
        <v>0.3</v>
      </c>
      <c r="H32" s="55" t="n">
        <f aca="false">F32+G32</f>
        <v>1</v>
      </c>
      <c r="I32" s="56" t="n">
        <f aca="false">'Assumptions (Domestic)'!$B$21</f>
        <v>1099.375</v>
      </c>
      <c r="J32" s="57" t="n">
        <f aca="false">IFERROR(F32*I32/E32,0)</f>
        <v>2025.16447368421</v>
      </c>
      <c r="K32" s="58" t="n">
        <v>1.2</v>
      </c>
      <c r="L32" s="57" t="n">
        <f aca="false">G32*K32*'Assumptions (Domestic)'!$B$20</f>
        <v>122.4</v>
      </c>
      <c r="M32" s="57" t="n">
        <f aca="false">J32+L32</f>
        <v>2147.56447368421</v>
      </c>
      <c r="N32" s="58" t="n">
        <v>1.6</v>
      </c>
      <c r="O32" s="58" t="n">
        <v>0.5</v>
      </c>
      <c r="P32" s="56" t="n">
        <f aca="false">'Assumptions (Domestic)'!$B$25</f>
        <v>40</v>
      </c>
      <c r="Q32" s="59" t="n">
        <f aca="false">M32+(N32+O32)*'Assumptions (Domestic)'!$B$20+P32</f>
        <v>2901.56447368421</v>
      </c>
      <c r="R32" s="56" t="n">
        <f aca="false">'Assumptions (Domestic)'!$B$24</f>
        <v>60</v>
      </c>
      <c r="S32" s="59" t="n">
        <f aca="false">Q32+R32</f>
        <v>2961.56447368421</v>
      </c>
      <c r="T32" s="60"/>
      <c r="U32" s="61" t="n">
        <f aca="false">S32</f>
        <v>2961.56447368421</v>
      </c>
      <c r="V32" s="61" t="n">
        <f aca="false">IFERROR(U32/(1-'Assumptions (Domestic)'!$B$32),0)</f>
        <v>4935.94078947369</v>
      </c>
      <c r="W32" s="62" t="n">
        <f aca="false">S32-J32*D32/(1+D32)</f>
        <v>2961.56447368421</v>
      </c>
      <c r="X32" s="62" t="n">
        <f aca="false">IFERROR(W32/(1-'Assumptions (Domestic)'!$B$32),0)</f>
        <v>4935.94078947369</v>
      </c>
    </row>
    <row r="33" customFormat="false" ht="15" hidden="false" customHeight="true" outlineLevel="0" collapsed="false">
      <c r="A33" s="52" t="s">
        <v>147</v>
      </c>
      <c r="B33" s="21" t="s">
        <v>116</v>
      </c>
      <c r="C33" s="65" t="s">
        <v>140</v>
      </c>
      <c r="D33" s="54" t="n">
        <v>0</v>
      </c>
      <c r="E33" s="54" t="n">
        <v>0.35</v>
      </c>
      <c r="F33" s="54" t="n">
        <v>0.65</v>
      </c>
      <c r="G33" s="54" t="n">
        <v>0.35</v>
      </c>
      <c r="H33" s="55" t="n">
        <f aca="false">F33+G33</f>
        <v>1</v>
      </c>
      <c r="I33" s="56" t="n">
        <f aca="false">'Assumptions (Domestic)'!$B$21</f>
        <v>1099.375</v>
      </c>
      <c r="J33" s="57" t="n">
        <f aca="false">IFERROR(F33*I33/E33,0)</f>
        <v>2041.69642857143</v>
      </c>
      <c r="K33" s="58" t="n">
        <v>1</v>
      </c>
      <c r="L33" s="57" t="n">
        <f aca="false">G33*K33*'Assumptions (Domestic)'!$B$20</f>
        <v>119</v>
      </c>
      <c r="M33" s="57" t="n">
        <f aca="false">J33+L33</f>
        <v>2160.69642857143</v>
      </c>
      <c r="N33" s="58" t="n">
        <v>1.7</v>
      </c>
      <c r="O33" s="58" t="n">
        <v>0.5</v>
      </c>
      <c r="P33" s="56" t="n">
        <f aca="false">'Assumptions (Domestic)'!$B$25</f>
        <v>40</v>
      </c>
      <c r="Q33" s="59" t="n">
        <f aca="false">M33+(N33+O33)*'Assumptions (Domestic)'!$B$20+P33</f>
        <v>2948.69642857143</v>
      </c>
      <c r="R33" s="56" t="n">
        <f aca="false">'Assumptions (Domestic)'!$B$24</f>
        <v>60</v>
      </c>
      <c r="S33" s="59" t="n">
        <f aca="false">Q33+R33</f>
        <v>3008.69642857143</v>
      </c>
      <c r="T33" s="60"/>
      <c r="U33" s="61" t="n">
        <f aca="false">S33</f>
        <v>3008.69642857143</v>
      </c>
      <c r="V33" s="61" t="n">
        <f aca="false">IFERROR(U33/(1-'Assumptions (Domestic)'!$B$32),0)</f>
        <v>5014.49404761905</v>
      </c>
      <c r="W33" s="62" t="n">
        <f aca="false">S33-J33*D33/(1+D33)</f>
        <v>3008.69642857143</v>
      </c>
      <c r="X33" s="62" t="n">
        <f aca="false">IFERROR(W33/(1-'Assumptions (Domestic)'!$B$32),0)</f>
        <v>5014.49404761905</v>
      </c>
    </row>
    <row r="34" customFormat="false" ht="15" hidden="false" customHeight="true" outlineLevel="0" collapsed="false">
      <c r="A34" s="52" t="s">
        <v>148</v>
      </c>
      <c r="B34" s="21" t="s">
        <v>116</v>
      </c>
      <c r="C34" s="65" t="s">
        <v>140</v>
      </c>
      <c r="D34" s="54" t="n">
        <v>0</v>
      </c>
      <c r="E34" s="54" t="n">
        <v>0.3</v>
      </c>
      <c r="F34" s="54" t="n">
        <v>0.6</v>
      </c>
      <c r="G34" s="54" t="n">
        <v>0.4</v>
      </c>
      <c r="H34" s="55" t="n">
        <f aca="false">F34+G34</f>
        <v>1</v>
      </c>
      <c r="I34" s="56" t="n">
        <f aca="false">'Assumptions (Domestic)'!$B$21</f>
        <v>1099.375</v>
      </c>
      <c r="J34" s="57" t="n">
        <f aca="false">IFERROR(F34*I34/E34,0)</f>
        <v>2198.75</v>
      </c>
      <c r="K34" s="58" t="n">
        <v>0.9</v>
      </c>
      <c r="L34" s="57" t="n">
        <f aca="false">G34*K34*'Assumptions (Domestic)'!$B$20</f>
        <v>122.4</v>
      </c>
      <c r="M34" s="57" t="n">
        <f aca="false">J34+L34</f>
        <v>2321.15</v>
      </c>
      <c r="N34" s="58" t="n">
        <v>1.8</v>
      </c>
      <c r="O34" s="58" t="n">
        <v>0.55</v>
      </c>
      <c r="P34" s="56" t="n">
        <f aca="false">'Assumptions (Domestic)'!$B$25</f>
        <v>40</v>
      </c>
      <c r="Q34" s="59" t="n">
        <f aca="false">M34+(N34+O34)*'Assumptions (Domestic)'!$B$20+P34</f>
        <v>3160.15</v>
      </c>
      <c r="R34" s="56" t="n">
        <f aca="false">'Assumptions (Domestic)'!$B$24</f>
        <v>60</v>
      </c>
      <c r="S34" s="59" t="n">
        <f aca="false">Q34+R34</f>
        <v>3220.15</v>
      </c>
      <c r="T34" s="60"/>
      <c r="U34" s="61" t="n">
        <f aca="false">S34</f>
        <v>3220.15</v>
      </c>
      <c r="V34" s="61" t="n">
        <f aca="false">IFERROR(U34/(1-'Assumptions (Domestic)'!$B$32),0)</f>
        <v>5366.91666666667</v>
      </c>
      <c r="W34" s="62" t="n">
        <f aca="false">S34-J34*D34/(1+D34)</f>
        <v>3220.15</v>
      </c>
      <c r="X34" s="62" t="n">
        <f aca="false">IFERROR(W34/(1-'Assumptions (Domestic)'!$B$32),0)</f>
        <v>5366.91666666667</v>
      </c>
    </row>
    <row r="35" customFormat="false" ht="15" hidden="false" customHeight="true" outlineLevel="0" collapsed="false">
      <c r="A35" s="52" t="s">
        <v>149</v>
      </c>
      <c r="B35" s="21" t="s">
        <v>116</v>
      </c>
      <c r="C35" s="65" t="s">
        <v>140</v>
      </c>
      <c r="D35" s="54" t="n">
        <v>0</v>
      </c>
      <c r="E35" s="54" t="n">
        <v>0.3</v>
      </c>
      <c r="F35" s="54" t="n">
        <v>0.62</v>
      </c>
      <c r="G35" s="54" t="n">
        <v>0.38</v>
      </c>
      <c r="H35" s="55" t="n">
        <f aca="false">F35+G35</f>
        <v>1</v>
      </c>
      <c r="I35" s="56" t="n">
        <f aca="false">'Assumptions (Domestic)'!$B$21</f>
        <v>1099.375</v>
      </c>
      <c r="J35" s="57" t="n">
        <f aca="false">IFERROR(F35*I35/E35,0)</f>
        <v>2272.04166666667</v>
      </c>
      <c r="K35" s="58" t="n">
        <v>0.95</v>
      </c>
      <c r="L35" s="57" t="n">
        <f aca="false">G35*K35*'Assumptions (Domestic)'!$B$20</f>
        <v>122.74</v>
      </c>
      <c r="M35" s="57" t="n">
        <f aca="false">J35+L35</f>
        <v>2394.78166666667</v>
      </c>
      <c r="N35" s="58" t="n">
        <v>1.75</v>
      </c>
      <c r="O35" s="58" t="n">
        <v>0.55</v>
      </c>
      <c r="P35" s="56" t="n">
        <f aca="false">'Assumptions (Domestic)'!$B$25</f>
        <v>40</v>
      </c>
      <c r="Q35" s="59" t="n">
        <f aca="false">M35+(N35+O35)*'Assumptions (Domestic)'!$B$20+P35</f>
        <v>3216.78166666667</v>
      </c>
      <c r="R35" s="56" t="n">
        <f aca="false">'Assumptions (Domestic)'!$B$24</f>
        <v>60</v>
      </c>
      <c r="S35" s="59" t="n">
        <f aca="false">Q35+R35</f>
        <v>3276.78166666667</v>
      </c>
      <c r="T35" s="60"/>
      <c r="U35" s="61" t="n">
        <f aca="false">S35</f>
        <v>3276.78166666667</v>
      </c>
      <c r="V35" s="61" t="n">
        <f aca="false">IFERROR(U35/(1-'Assumptions (Domestic)'!$B$32),0)</f>
        <v>5461.30277777778</v>
      </c>
      <c r="W35" s="62" t="n">
        <f aca="false">S35-J35*D35/(1+D35)</f>
        <v>3276.78166666667</v>
      </c>
      <c r="X35" s="62" t="n">
        <f aca="false">IFERROR(W35/(1-'Assumptions (Domestic)'!$B$32),0)</f>
        <v>5461.30277777778</v>
      </c>
    </row>
    <row r="36" customFormat="false" ht="15" hidden="false" customHeight="true" outlineLevel="0" collapsed="false">
      <c r="A36" s="52" t="s">
        <v>150</v>
      </c>
      <c r="B36" s="21" t="s">
        <v>116</v>
      </c>
      <c r="C36" s="65" t="s">
        <v>140</v>
      </c>
      <c r="D36" s="54" t="n">
        <v>0</v>
      </c>
      <c r="E36" s="54" t="n">
        <v>0.3</v>
      </c>
      <c r="F36" s="54" t="n">
        <v>0.68</v>
      </c>
      <c r="G36" s="54" t="n">
        <v>0.32</v>
      </c>
      <c r="H36" s="55" t="n">
        <f aca="false">F36+G36</f>
        <v>1</v>
      </c>
      <c r="I36" s="56" t="n">
        <f aca="false">'Assumptions (Domestic)'!$B$21</f>
        <v>1099.375</v>
      </c>
      <c r="J36" s="57" t="n">
        <f aca="false">IFERROR(F36*I36/E36,0)</f>
        <v>2491.91666666667</v>
      </c>
      <c r="K36" s="58" t="n">
        <v>1.1</v>
      </c>
      <c r="L36" s="57" t="n">
        <f aca="false">G36*K36*'Assumptions (Domestic)'!$B$20</f>
        <v>119.68</v>
      </c>
      <c r="M36" s="57" t="n">
        <f aca="false">J36+L36</f>
        <v>2611.59666666667</v>
      </c>
      <c r="N36" s="58" t="n">
        <v>1.7</v>
      </c>
      <c r="O36" s="58" t="n">
        <v>0.55</v>
      </c>
      <c r="P36" s="56" t="n">
        <f aca="false">'Assumptions (Domestic)'!$B$25</f>
        <v>40</v>
      </c>
      <c r="Q36" s="59" t="n">
        <f aca="false">M36+(N36+O36)*'Assumptions (Domestic)'!$B$20+P36</f>
        <v>3416.59666666667</v>
      </c>
      <c r="R36" s="56" t="n">
        <f aca="false">'Assumptions (Domestic)'!$B$24</f>
        <v>60</v>
      </c>
      <c r="S36" s="59" t="n">
        <f aca="false">Q36+R36</f>
        <v>3476.59666666667</v>
      </c>
      <c r="T36" s="60"/>
      <c r="U36" s="61" t="n">
        <f aca="false">S36</f>
        <v>3476.59666666667</v>
      </c>
      <c r="V36" s="61" t="n">
        <f aca="false">IFERROR(U36/(1-'Assumptions (Domestic)'!$B$32),0)</f>
        <v>5794.32777777778</v>
      </c>
      <c r="W36" s="62" t="n">
        <f aca="false">S36-J36*D36/(1+D36)</f>
        <v>3476.59666666667</v>
      </c>
      <c r="X36" s="62" t="n">
        <f aca="false">IFERROR(W36/(1-'Assumptions (Domestic)'!$B$32),0)</f>
        <v>5794.32777777778</v>
      </c>
    </row>
    <row r="37" customFormat="false" ht="15" hidden="false" customHeight="true" outlineLevel="0" collapsed="false">
      <c r="A37" s="52" t="s">
        <v>151</v>
      </c>
      <c r="B37" s="21" t="s">
        <v>116</v>
      </c>
      <c r="C37" s="65" t="s">
        <v>140</v>
      </c>
      <c r="D37" s="54" t="n">
        <v>0</v>
      </c>
      <c r="E37" s="54" t="n">
        <v>0.38</v>
      </c>
      <c r="F37" s="54" t="n">
        <v>0.95</v>
      </c>
      <c r="G37" s="54" t="n">
        <v>0.05</v>
      </c>
      <c r="H37" s="55" t="n">
        <f aca="false">F37+G37</f>
        <v>1</v>
      </c>
      <c r="I37" s="56" t="n">
        <f aca="false">'Assumptions (Domestic)'!$B$21</f>
        <v>1099.375</v>
      </c>
      <c r="J37" s="57" t="n">
        <f aca="false">IFERROR(F37*I37/E37,0)</f>
        <v>2748.4375</v>
      </c>
      <c r="K37" s="58" t="n">
        <v>1.5</v>
      </c>
      <c r="L37" s="57" t="n">
        <f aca="false">G37*K37*'Assumptions (Domestic)'!$B$20</f>
        <v>25.5</v>
      </c>
      <c r="M37" s="57" t="n">
        <f aca="false">J37+L37</f>
        <v>2773.9375</v>
      </c>
      <c r="N37" s="58" t="n">
        <v>2.2</v>
      </c>
      <c r="O37" s="58" t="n">
        <v>0.6</v>
      </c>
      <c r="P37" s="56" t="n">
        <f aca="false">'Assumptions (Domestic)'!$B$25</f>
        <v>40</v>
      </c>
      <c r="Q37" s="59" t="n">
        <f aca="false">M37+(N37+O37)*'Assumptions (Domestic)'!$B$20+P37</f>
        <v>3765.9375</v>
      </c>
      <c r="R37" s="56" t="n">
        <f aca="false">'Assumptions (Domestic)'!$B$24</f>
        <v>60</v>
      </c>
      <c r="S37" s="59" t="n">
        <f aca="false">Q37+R37</f>
        <v>3825.9375</v>
      </c>
      <c r="T37" s="60"/>
      <c r="U37" s="61" t="n">
        <f aca="false">S37</f>
        <v>3825.9375</v>
      </c>
      <c r="V37" s="61" t="n">
        <f aca="false">IFERROR(U37/(1-'Assumptions (Domestic)'!$B$32),0)</f>
        <v>6376.5625</v>
      </c>
      <c r="W37" s="62" t="n">
        <f aca="false">S37-J37*D37/(1+D37)</f>
        <v>3825.9375</v>
      </c>
      <c r="X37" s="62" t="n">
        <f aca="false">IFERROR(W37/(1-'Assumptions (Domestic)'!$B$32),0)</f>
        <v>6376.5625</v>
      </c>
    </row>
  </sheetData>
  <autoFilter ref="A3:X37"/>
  <mergeCells count="4">
    <mergeCell ref="A1:T1"/>
    <mergeCell ref="A2:T2"/>
    <mergeCell ref="U2:V2"/>
    <mergeCell ref="W2:X2"/>
  </mergeCells>
  <conditionalFormatting sqref="H4:H37">
    <cfRule type="cellIs" priority="2" operator="notEqual" aboveAverage="0" equalAverage="0" bottom="0" percent="0" rank="0" text="" dxfId="16">
      <formula>1</formula>
    </cfRule>
  </conditionalFormatting>
  <conditionalFormatting sqref="A4:T37">
    <cfRule type="expression" priority="3" aboveAverage="0" equalAverage="0" bottom="0" percent="0" rank="0" text="" dxfId="17">
      <formula>$B4="Inactive"</formula>
    </cfRule>
  </conditionalFormatting>
  <dataValidations count="1">
    <dataValidation allowBlank="false" errorStyle="stop" operator="between" showDropDown="false" showErrorMessage="false" showInputMessage="false" sqref="B4:B37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3" width="32"/>
    <col collapsed="false" customWidth="true" hidden="false" outlineLevel="0" max="4" min="2" style="3" width="13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45" t="s">
        <v>152</v>
      </c>
      <c r="B1" s="45"/>
      <c r="C1" s="45"/>
      <c r="D1" s="45"/>
    </row>
    <row r="2" customFormat="false" ht="14.25" hidden="false" customHeight="true" outlineLevel="0" collapsed="false">
      <c r="A2" s="66" t="s">
        <v>153</v>
      </c>
      <c r="B2" s="66"/>
      <c r="C2" s="66"/>
      <c r="D2" s="66"/>
    </row>
    <row r="4" customFormat="false" ht="19.5" hidden="false" customHeight="true" outlineLevel="0" collapsed="false">
      <c r="A4" s="30" t="s">
        <v>154</v>
      </c>
      <c r="B4" s="30"/>
      <c r="C4" s="30"/>
      <c r="D4" s="30"/>
    </row>
    <row r="5" customFormat="false" ht="14.25" hidden="false" customHeight="true" outlineLevel="0" collapsed="false">
      <c r="A5" s="11" t="s">
        <v>26</v>
      </c>
      <c r="B5" s="67" t="n">
        <f aca="false">'Assumptions (Domestic)'!$B$5</f>
        <v>1.35</v>
      </c>
      <c r="C5" s="13" t="s">
        <v>155</v>
      </c>
    </row>
    <row r="6" customFormat="false" ht="14.25" hidden="false" customHeight="true" outlineLevel="0" collapsed="false">
      <c r="A6" s="11" t="s">
        <v>29</v>
      </c>
      <c r="B6" s="67" t="n">
        <f aca="false">'Assumptions (Domestic)'!$B$6</f>
        <v>0.05</v>
      </c>
      <c r="C6" s="13" t="s">
        <v>156</v>
      </c>
    </row>
    <row r="7" customFormat="false" ht="14.25" hidden="false" customHeight="true" outlineLevel="0" collapsed="false">
      <c r="A7" s="11" t="s">
        <v>31</v>
      </c>
      <c r="B7" s="16" t="n">
        <v>0</v>
      </c>
      <c r="C7" s="13" t="s">
        <v>157</v>
      </c>
    </row>
    <row r="8" customFormat="false" ht="14.25" hidden="false" customHeight="true" outlineLevel="0" collapsed="false">
      <c r="A8" s="11" t="s">
        <v>33</v>
      </c>
      <c r="B8" s="68" t="n">
        <f aca="false">B5*(1+B7)+B6</f>
        <v>1.4</v>
      </c>
      <c r="C8" s="13" t="s">
        <v>158</v>
      </c>
    </row>
    <row r="9" customFormat="false" ht="14.25" hidden="false" customHeight="true" outlineLevel="0" collapsed="false">
      <c r="A9" s="11" t="s">
        <v>35</v>
      </c>
      <c r="B9" s="69" t="n">
        <f aca="false">'Assumptions (Domestic)'!$B$9</f>
        <v>1.5</v>
      </c>
      <c r="C9" s="13" t="s">
        <v>156</v>
      </c>
    </row>
    <row r="10" customFormat="false" ht="14.25" hidden="false" customHeight="true" outlineLevel="0" collapsed="false">
      <c r="A10" s="11" t="s">
        <v>38</v>
      </c>
      <c r="B10" s="68" t="n">
        <f aca="false">B8*B9</f>
        <v>2.1</v>
      </c>
      <c r="C10" s="13" t="s">
        <v>39</v>
      </c>
    </row>
    <row r="11" customFormat="false" ht="14.25" hidden="false" customHeight="true" outlineLevel="0" collapsed="false">
      <c r="A11" s="11" t="s">
        <v>159</v>
      </c>
      <c r="B11" s="67" t="n">
        <f aca="false">'Assumptions (Domestic)'!$B$11</f>
        <v>0.424705882352941</v>
      </c>
      <c r="C11" s="13" t="s">
        <v>160</v>
      </c>
    </row>
    <row r="12" customFormat="false" ht="14.25" hidden="false" customHeight="true" outlineLevel="0" collapsed="false">
      <c r="A12" s="11" t="s">
        <v>51</v>
      </c>
      <c r="B12" s="70" t="n">
        <f aca="false">B10+B11</f>
        <v>2.52470588235294</v>
      </c>
      <c r="C12" s="13" t="s">
        <v>161</v>
      </c>
    </row>
    <row r="13" customFormat="false" ht="14.25" hidden="false" customHeight="true" outlineLevel="0" collapsed="false">
      <c r="A13" s="11" t="s">
        <v>162</v>
      </c>
      <c r="B13" s="25" t="n">
        <v>340</v>
      </c>
      <c r="C13" s="13" t="s">
        <v>163</v>
      </c>
    </row>
    <row r="14" customFormat="false" ht="14.25" hidden="false" customHeight="true" outlineLevel="0" collapsed="false">
      <c r="A14" s="11" t="s">
        <v>164</v>
      </c>
      <c r="B14" s="57" t="n">
        <f aca="false">B12*B13</f>
        <v>858.4</v>
      </c>
      <c r="C14" s="13" t="s">
        <v>165</v>
      </c>
    </row>
    <row r="16" customFormat="false" ht="19.5" hidden="false" customHeight="true" outlineLevel="0" collapsed="false">
      <c r="A16" s="30" t="s">
        <v>166</v>
      </c>
      <c r="B16" s="30"/>
      <c r="C16" s="30"/>
      <c r="D16" s="30"/>
    </row>
    <row r="17" customFormat="false" ht="14.25" hidden="false" customHeight="true" outlineLevel="0" collapsed="false">
      <c r="A17" s="11" t="s">
        <v>167</v>
      </c>
      <c r="B17" s="71" t="n">
        <v>0.1</v>
      </c>
      <c r="C17" s="13" t="s">
        <v>168</v>
      </c>
    </row>
    <row r="18" customFormat="false" ht="14.25" hidden="false" customHeight="true" outlineLevel="0" collapsed="false">
      <c r="A18" s="11" t="s">
        <v>169</v>
      </c>
      <c r="B18" s="71" t="n">
        <v>0.1</v>
      </c>
      <c r="C18" s="13" t="s">
        <v>170</v>
      </c>
    </row>
    <row r="20" customFormat="false" ht="19.5" hidden="false" customHeight="true" outlineLevel="0" collapsed="false">
      <c r="A20" s="31" t="s">
        <v>171</v>
      </c>
      <c r="B20" s="31"/>
      <c r="C20" s="31"/>
      <c r="D20" s="31"/>
    </row>
    <row r="21" customFormat="false" ht="14.25" hidden="false" customHeight="true" outlineLevel="0" collapsed="false">
      <c r="A21" s="32"/>
      <c r="B21" s="33"/>
      <c r="C21" s="31"/>
      <c r="D21" s="34"/>
    </row>
    <row r="22" customFormat="false" ht="14.25" hidden="false" customHeight="true" outlineLevel="0" collapsed="false">
      <c r="A22" s="32"/>
      <c r="B22" s="33"/>
      <c r="C22" s="34"/>
      <c r="D22" s="34"/>
    </row>
    <row r="23" customFormat="false" ht="14.25" hidden="false" customHeight="true" outlineLevel="0" collapsed="false">
      <c r="A23" s="32"/>
      <c r="B23" s="33"/>
      <c r="C23" s="34"/>
      <c r="D23" s="34"/>
    </row>
    <row r="25" customFormat="false" ht="19.5" hidden="false" customHeight="true" outlineLevel="0" collapsed="false">
      <c r="A25" s="30" t="s">
        <v>172</v>
      </c>
      <c r="B25" s="30"/>
      <c r="C25" s="30"/>
      <c r="D25" s="30"/>
    </row>
    <row r="26" customFormat="false" ht="14.25" hidden="false" customHeight="true" outlineLevel="0" collapsed="false">
      <c r="A26" s="11" t="s">
        <v>173</v>
      </c>
      <c r="B26" s="36" t="n">
        <v>0.4</v>
      </c>
      <c r="C26" s="13" t="s">
        <v>174</v>
      </c>
    </row>
    <row r="27" customFormat="false" ht="14.25" hidden="false" customHeight="true" outlineLevel="0" collapsed="false">
      <c r="A27" s="11" t="s">
        <v>175</v>
      </c>
      <c r="B27" s="71" t="n">
        <v>0.5</v>
      </c>
      <c r="C27" s="13" t="s">
        <v>176</v>
      </c>
    </row>
    <row r="28" customFormat="false" ht="14.25" hidden="false" customHeight="true" outlineLevel="0" collapsed="false">
      <c r="A28" s="11" t="s">
        <v>177</v>
      </c>
      <c r="B28" s="36" t="n">
        <v>0.05</v>
      </c>
      <c r="C28" s="13" t="s">
        <v>178</v>
      </c>
    </row>
    <row r="29" customFormat="false" ht="14.25" hidden="false" customHeight="true" outlineLevel="0" collapsed="false">
      <c r="A29" s="11" t="s">
        <v>179</v>
      </c>
      <c r="B29" s="36" t="n">
        <v>0.1</v>
      </c>
      <c r="C29" s="13" t="s">
        <v>180</v>
      </c>
    </row>
    <row r="30" customFormat="false" ht="14.25" hidden="false" customHeight="true" outlineLevel="0" collapsed="false">
      <c r="A30" s="11" t="s">
        <v>181</v>
      </c>
      <c r="B30" s="36" t="n">
        <v>0.15</v>
      </c>
      <c r="C30" s="13" t="s">
        <v>182</v>
      </c>
    </row>
    <row r="32" customFormat="false" ht="14.25" hidden="false" customHeight="true" outlineLevel="0" collapsed="false">
      <c r="A32" s="31" t="s">
        <v>183</v>
      </c>
      <c r="B32" s="31"/>
      <c r="C32" s="31"/>
      <c r="D32" s="31"/>
    </row>
    <row r="34" customFormat="false" ht="14.25" hidden="false" customHeight="true" outlineLevel="0" collapsed="false">
      <c r="A34" s="72" t="s">
        <v>184</v>
      </c>
    </row>
    <row r="35" customFormat="false" ht="14.25" hidden="false" customHeight="true" outlineLevel="0" collapsed="false">
      <c r="A35" s="73" t="s">
        <v>185</v>
      </c>
      <c r="B35" s="74" t="s">
        <v>186</v>
      </c>
      <c r="C35" s="13" t="s">
        <v>187</v>
      </c>
    </row>
    <row r="36" customFormat="false" ht="14.25" hidden="false" customHeight="true" outlineLevel="0" collapsed="false">
      <c r="A36" s="11" t="s">
        <v>188</v>
      </c>
      <c r="B36" s="75" t="n">
        <f aca="false">IFERROR(VLOOKUP($B$35,$A$42:$E$62,4,FALSE()),0)</f>
        <v>0.45</v>
      </c>
      <c r="C36" s="13" t="s">
        <v>189</v>
      </c>
    </row>
    <row r="37" customFormat="false" ht="14.25" hidden="false" customHeight="true" outlineLevel="0" collapsed="false">
      <c r="A37" s="11" t="s">
        <v>190</v>
      </c>
      <c r="B37" s="75" t="n">
        <f aca="false">IFERROR(VLOOKUP($B$35,$A$42:$E$62,5,FALSE()),0)</f>
        <v>2.8</v>
      </c>
      <c r="C37" s="13" t="s">
        <v>191</v>
      </c>
    </row>
    <row r="38" customFormat="false" ht="14.25" hidden="false" customHeight="false" outlineLevel="0" collapsed="false">
      <c r="A38" s="11" t="s">
        <v>192</v>
      </c>
      <c r="B38" s="76" t="n">
        <v>7000</v>
      </c>
      <c r="C38" s="13" t="s">
        <v>193</v>
      </c>
    </row>
    <row r="39" customFormat="false" ht="14.25" hidden="false" customHeight="true" outlineLevel="0" collapsed="false">
      <c r="A39" s="77" t="s">
        <v>194</v>
      </c>
      <c r="B39" s="76" t="n">
        <v>500</v>
      </c>
      <c r="C39" s="78" t="s">
        <v>195</v>
      </c>
    </row>
    <row r="40" customFormat="false" ht="14.25" hidden="false" customHeight="true" outlineLevel="0" collapsed="false">
      <c r="A40" s="79"/>
      <c r="B40" s="80"/>
      <c r="C40" s="80"/>
      <c r="D40" s="34"/>
      <c r="E40" s="34"/>
    </row>
    <row r="41" customFormat="false" ht="14.25" hidden="false" customHeight="true" outlineLevel="0" collapsed="false">
      <c r="A41" s="48" t="s">
        <v>196</v>
      </c>
      <c r="B41" s="81" t="s">
        <v>197</v>
      </c>
      <c r="C41" s="81" t="s">
        <v>198</v>
      </c>
      <c r="D41" s="48" t="s">
        <v>199</v>
      </c>
      <c r="E41" s="48" t="s">
        <v>200</v>
      </c>
    </row>
    <row r="42" customFormat="false" ht="14.25" hidden="false" customHeight="true" outlineLevel="0" collapsed="false">
      <c r="A42" s="82" t="s">
        <v>186</v>
      </c>
      <c r="B42" s="83" t="n">
        <v>3150</v>
      </c>
      <c r="C42" s="83" t="n">
        <v>1400</v>
      </c>
      <c r="D42" s="84" t="n">
        <f aca="false">IFERROR(B42/$B$38,0)</f>
        <v>0.45</v>
      </c>
      <c r="E42" s="84" t="n">
        <f aca="false">IFERROR(C42/$B$39,0)</f>
        <v>2.8</v>
      </c>
    </row>
    <row r="43" customFormat="false" ht="14.25" hidden="false" customHeight="true" outlineLevel="0" collapsed="false">
      <c r="A43" s="82" t="s">
        <v>201</v>
      </c>
      <c r="B43" s="83" t="n">
        <v>2800</v>
      </c>
      <c r="C43" s="83" t="n">
        <v>1250</v>
      </c>
      <c r="D43" s="84" t="n">
        <f aca="false">IFERROR(B43/$B$38,0)</f>
        <v>0.4</v>
      </c>
      <c r="E43" s="84" t="n">
        <f aca="false">IFERROR(C43/$B$39,0)</f>
        <v>2.5</v>
      </c>
    </row>
    <row r="44" customFormat="false" ht="14.25" hidden="false" customHeight="true" outlineLevel="0" collapsed="false">
      <c r="A44" s="82" t="s">
        <v>202</v>
      </c>
      <c r="B44" s="83" t="n">
        <v>3500</v>
      </c>
      <c r="C44" s="83" t="n">
        <v>1450</v>
      </c>
      <c r="D44" s="84" t="n">
        <f aca="false">IFERROR(B44/$B$38,0)</f>
        <v>0.5</v>
      </c>
      <c r="E44" s="84" t="n">
        <f aca="false">IFERROR(C44/$B$39,0)</f>
        <v>2.9</v>
      </c>
    </row>
    <row r="45" customFormat="false" ht="14.25" hidden="false" customHeight="true" outlineLevel="0" collapsed="false">
      <c r="A45" s="82" t="s">
        <v>203</v>
      </c>
      <c r="B45" s="83" t="n">
        <v>2450</v>
      </c>
      <c r="C45" s="83" t="n">
        <v>900</v>
      </c>
      <c r="D45" s="84" t="n">
        <f aca="false">IFERROR(B45/$B$38,0)</f>
        <v>0.35</v>
      </c>
      <c r="E45" s="84" t="n">
        <f aca="false">IFERROR(C45/$B$39,0)</f>
        <v>1.8</v>
      </c>
    </row>
    <row r="46" customFormat="false" ht="14.25" hidden="false" customHeight="true" outlineLevel="0" collapsed="false">
      <c r="A46" s="82" t="s">
        <v>204</v>
      </c>
      <c r="B46" s="83" t="n">
        <v>3150</v>
      </c>
      <c r="C46" s="83" t="n">
        <v>1300</v>
      </c>
      <c r="D46" s="84" t="n">
        <f aca="false">IFERROR(B46/$B$38,0)</f>
        <v>0.45</v>
      </c>
      <c r="E46" s="84" t="n">
        <f aca="false">IFERROR(C46/$B$39,0)</f>
        <v>2.6</v>
      </c>
    </row>
    <row r="47" customFormat="false" ht="14.25" hidden="false" customHeight="true" outlineLevel="0" collapsed="false">
      <c r="A47" s="82" t="s">
        <v>205</v>
      </c>
      <c r="B47" s="83" t="n">
        <v>5950</v>
      </c>
      <c r="C47" s="83" t="n">
        <v>2250</v>
      </c>
      <c r="D47" s="84" t="n">
        <f aca="false">IFERROR(B47/$B$38,0)</f>
        <v>0.85</v>
      </c>
      <c r="E47" s="84" t="n">
        <f aca="false">IFERROR(C47/$B$39,0)</f>
        <v>4.5</v>
      </c>
    </row>
    <row r="48" customFormat="false" ht="14.25" hidden="false" customHeight="true" outlineLevel="0" collapsed="false">
      <c r="A48" s="82" t="s">
        <v>206</v>
      </c>
      <c r="B48" s="83" t="n">
        <v>4900</v>
      </c>
      <c r="C48" s="83" t="n">
        <v>1900</v>
      </c>
      <c r="D48" s="84" t="n">
        <f aca="false">IFERROR(B48/$B$38,0)</f>
        <v>0.7</v>
      </c>
      <c r="E48" s="84" t="n">
        <f aca="false">IFERROR(C48/$B$39,0)</f>
        <v>3.8</v>
      </c>
    </row>
    <row r="49" customFormat="false" ht="14.25" hidden="false" customHeight="false" outlineLevel="0" collapsed="false">
      <c r="A49" s="82" t="s">
        <v>207</v>
      </c>
      <c r="B49" s="83" t="n">
        <v>7700</v>
      </c>
      <c r="C49" s="83" t="n">
        <v>2750</v>
      </c>
      <c r="D49" s="84" t="n">
        <f aca="false">IFERROR(B49/$B$38,0)</f>
        <v>1.1</v>
      </c>
      <c r="E49" s="84" t="n">
        <f aca="false">IFERROR(C49/$B$39,0)</f>
        <v>5.5</v>
      </c>
    </row>
    <row r="50" customFormat="false" ht="14.25" hidden="false" customHeight="false" outlineLevel="0" collapsed="false">
      <c r="A50" s="82" t="s">
        <v>208</v>
      </c>
      <c r="B50" s="83" t="n">
        <v>5200</v>
      </c>
      <c r="C50" s="83" t="n">
        <v>2000</v>
      </c>
      <c r="D50" s="84" t="n">
        <f aca="false">IFERROR(B50/$B$38,0)</f>
        <v>0.742857142857143</v>
      </c>
      <c r="E50" s="84" t="n">
        <f aca="false">IFERROR(C50/$B$39,0)</f>
        <v>4</v>
      </c>
    </row>
    <row r="51" customFormat="false" ht="14.25" hidden="false" customHeight="false" outlineLevel="0" collapsed="false">
      <c r="A51" s="82" t="s">
        <v>209</v>
      </c>
      <c r="B51" s="83" t="n">
        <v>4800</v>
      </c>
      <c r="C51" s="83" t="n">
        <v>1900</v>
      </c>
      <c r="D51" s="84" t="n">
        <f aca="false">IFERROR(B51/$B$38,0)</f>
        <v>0.685714285714286</v>
      </c>
      <c r="E51" s="84" t="n">
        <f aca="false">IFERROR(C51/$B$39,0)</f>
        <v>3.8</v>
      </c>
    </row>
    <row r="52" customFormat="false" ht="14.25" hidden="false" customHeight="false" outlineLevel="0" collapsed="false">
      <c r="A52" s="82" t="s">
        <v>210</v>
      </c>
      <c r="B52" s="83" t="n">
        <v>4500</v>
      </c>
      <c r="C52" s="83" t="n">
        <v>1850</v>
      </c>
      <c r="D52" s="84" t="n">
        <f aca="false">IFERROR(B52/$B$38,0)</f>
        <v>0.642857142857143</v>
      </c>
      <c r="E52" s="84" t="n">
        <f aca="false">IFERROR(C52/$B$39,0)</f>
        <v>3.7</v>
      </c>
    </row>
    <row r="53" customFormat="false" ht="14.25" hidden="false" customHeight="false" outlineLevel="0" collapsed="false">
      <c r="A53" s="82" t="s">
        <v>211</v>
      </c>
      <c r="B53" s="83" t="n">
        <v>5000</v>
      </c>
      <c r="C53" s="83" t="n">
        <v>1950</v>
      </c>
      <c r="D53" s="84" t="n">
        <f aca="false">IFERROR(B53/$B$38,0)</f>
        <v>0.714285714285714</v>
      </c>
      <c r="E53" s="84" t="n">
        <f aca="false">IFERROR(C53/$B$39,0)</f>
        <v>3.9</v>
      </c>
    </row>
    <row r="54" customFormat="false" ht="14.25" hidden="false" customHeight="false" outlineLevel="0" collapsed="false">
      <c r="A54" s="82" t="s">
        <v>212</v>
      </c>
      <c r="B54" s="83" t="n">
        <v>6500</v>
      </c>
      <c r="C54" s="83" t="n">
        <v>2400</v>
      </c>
      <c r="D54" s="84" t="n">
        <f aca="false">IFERROR(B54/$B$38,0)</f>
        <v>0.928571428571429</v>
      </c>
      <c r="E54" s="84" t="n">
        <f aca="false">IFERROR(C54/$B$39,0)</f>
        <v>4.8</v>
      </c>
    </row>
    <row r="55" customFormat="false" ht="14.25" hidden="false" customHeight="false" outlineLevel="0" collapsed="false">
      <c r="A55" s="82" t="s">
        <v>213</v>
      </c>
      <c r="B55" s="83" t="n">
        <v>7000</v>
      </c>
      <c r="C55" s="83" t="n">
        <v>2600</v>
      </c>
      <c r="D55" s="84" t="n">
        <f aca="false">IFERROR(B55/$B$38,0)</f>
        <v>1</v>
      </c>
      <c r="E55" s="84" t="n">
        <f aca="false">IFERROR(C55/$B$39,0)</f>
        <v>5.2</v>
      </c>
    </row>
    <row r="56" customFormat="false" ht="14.25" hidden="false" customHeight="false" outlineLevel="0" collapsed="false">
      <c r="A56" s="82" t="s">
        <v>214</v>
      </c>
      <c r="B56" s="83" t="n">
        <v>6200</v>
      </c>
      <c r="C56" s="83" t="n">
        <v>2300</v>
      </c>
      <c r="D56" s="84" t="n">
        <f aca="false">IFERROR(B56/$B$38,0)</f>
        <v>0.885714285714286</v>
      </c>
      <c r="E56" s="84" t="n">
        <f aca="false">IFERROR(C56/$B$39,0)</f>
        <v>4.6</v>
      </c>
    </row>
    <row r="57" customFormat="false" ht="14.25" hidden="false" customHeight="false" outlineLevel="0" collapsed="false">
      <c r="A57" s="85"/>
      <c r="B57" s="85"/>
      <c r="C57" s="85"/>
      <c r="D57" s="86" t="n">
        <f aca="false">IFERROR(B57/$B$38,0)</f>
        <v>0</v>
      </c>
      <c r="E57" s="86" t="n">
        <f aca="false">IFERROR(C57/$B$39,0)</f>
        <v>0</v>
      </c>
    </row>
    <row r="58" customFormat="false" ht="14.25" hidden="false" customHeight="false" outlineLevel="0" collapsed="false">
      <c r="A58" s="85"/>
      <c r="B58" s="85"/>
      <c r="C58" s="85"/>
      <c r="D58" s="86" t="n">
        <f aca="false">IFERROR(B58/$B$38,0)</f>
        <v>0</v>
      </c>
      <c r="E58" s="86" t="n">
        <f aca="false">IFERROR(C58/$B$39,0)</f>
        <v>0</v>
      </c>
    </row>
    <row r="59" customFormat="false" ht="14.25" hidden="false" customHeight="false" outlineLevel="0" collapsed="false">
      <c r="A59" s="85"/>
      <c r="B59" s="85"/>
      <c r="C59" s="85"/>
      <c r="D59" s="86" t="n">
        <f aca="false">IFERROR(B59/$B$38,0)</f>
        <v>0</v>
      </c>
      <c r="E59" s="86" t="n">
        <f aca="false">IFERROR(C59/$B$39,0)</f>
        <v>0</v>
      </c>
    </row>
    <row r="60" customFormat="false" ht="14.25" hidden="false" customHeight="false" outlineLevel="0" collapsed="false">
      <c r="A60" s="85"/>
      <c r="B60" s="85"/>
      <c r="C60" s="85"/>
      <c r="D60" s="86" t="n">
        <f aca="false">IFERROR(B60/$B$38,0)</f>
        <v>0</v>
      </c>
      <c r="E60" s="86" t="n">
        <f aca="false">IFERROR(C60/$B$39,0)</f>
        <v>0</v>
      </c>
    </row>
    <row r="61" customFormat="false" ht="14.25" hidden="false" customHeight="false" outlineLevel="0" collapsed="false">
      <c r="A61" s="85"/>
      <c r="B61" s="85"/>
      <c r="C61" s="85"/>
      <c r="D61" s="86" t="n">
        <f aca="false">IFERROR(B61/$B$38,0)</f>
        <v>0</v>
      </c>
      <c r="E61" s="86" t="n">
        <f aca="false">IFERROR(C61/$B$39,0)</f>
        <v>0</v>
      </c>
    </row>
    <row r="62" customFormat="false" ht="14.25" hidden="false" customHeight="false" outlineLevel="0" collapsed="false">
      <c r="A62" s="85"/>
      <c r="B62" s="85"/>
      <c r="C62" s="85"/>
      <c r="D62" s="86" t="n">
        <f aca="false">IFERROR(B62/$B$38,0)</f>
        <v>0</v>
      </c>
      <c r="E62" s="86" t="n">
        <f aca="false">IFERROR(C62/$B$39,0)</f>
        <v>0</v>
      </c>
    </row>
    <row r="63" customFormat="false" ht="14.25" hidden="false" customHeight="false" outlineLevel="0" collapsed="false">
      <c r="A63" s="35" t="s">
        <v>215</v>
      </c>
      <c r="B63" s="35"/>
      <c r="C63" s="35"/>
      <c r="D63" s="35"/>
      <c r="E63" s="35"/>
    </row>
  </sheetData>
  <mergeCells count="8">
    <mergeCell ref="A1:D1"/>
    <mergeCell ref="A2:D2"/>
    <mergeCell ref="A4:D4"/>
    <mergeCell ref="A16:D16"/>
    <mergeCell ref="A20:D20"/>
    <mergeCell ref="A25:D25"/>
    <mergeCell ref="A32:D32"/>
    <mergeCell ref="A63:E63"/>
  </mergeCells>
  <dataValidations count="1">
    <dataValidation allowBlank="false" errorStyle="stop" operator="between" showDropDown="false" showErrorMessage="false" showInputMessage="false" sqref="B35" type="list">
      <formula1>$A$42:$A$62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6"/>
    <col collapsed="false" customWidth="true" hidden="false" outlineLevel="0" max="2" min="2" style="3" width="9"/>
    <col collapsed="false" customWidth="true" hidden="false" outlineLevel="0" max="3" min="3" style="3" width="12"/>
    <col collapsed="false" customWidth="true" hidden="false" outlineLevel="0" max="4" min="4" style="3" width="9"/>
    <col collapsed="false" customWidth="true" hidden="false" outlineLevel="0" max="7" min="5" style="3" width="7"/>
    <col collapsed="false" customWidth="true" hidden="false" outlineLevel="0" max="8" min="8" style="3" width="6"/>
    <col collapsed="false" customWidth="true" hidden="false" outlineLevel="0" max="9" min="9" style="3" width="10"/>
    <col collapsed="false" customWidth="true" hidden="false" outlineLevel="0" max="13" min="10" style="3" width="9"/>
    <col collapsed="false" customWidth="true" hidden="false" outlineLevel="0" max="16" min="14" style="3" width="8"/>
    <col collapsed="false" customWidth="true" hidden="false" outlineLevel="0" max="17" min="17" style="3" width="10"/>
    <col collapsed="false" customWidth="true" hidden="false" outlineLevel="0" max="18" min="18" style="3" width="8"/>
    <col collapsed="false" customWidth="true" hidden="false" outlineLevel="0" max="32" min="19" style="3" width="10"/>
  </cols>
  <sheetData>
    <row r="1" customFormat="false" ht="24" hidden="false" customHeight="true" outlineLevel="0" collapsed="false">
      <c r="A1" s="87" t="s">
        <v>216</v>
      </c>
    </row>
    <row r="2" customFormat="false" ht="15" hidden="false" customHeight="true" outlineLevel="0" collapsed="false">
      <c r="A2" s="13" t="s">
        <v>217</v>
      </c>
      <c r="T2" s="88"/>
      <c r="U2" s="46" t="s">
        <v>218</v>
      </c>
      <c r="V2" s="46"/>
      <c r="W2" s="46"/>
      <c r="X2" s="46"/>
      <c r="Y2" s="47" t="s">
        <v>219</v>
      </c>
      <c r="Z2" s="47"/>
      <c r="AA2" s="47"/>
      <c r="AB2" s="47"/>
      <c r="AC2" s="89" t="s">
        <v>220</v>
      </c>
      <c r="AD2" s="89"/>
      <c r="AE2" s="89"/>
      <c r="AF2" s="89"/>
    </row>
    <row r="3" customFormat="false" ht="30" hidden="false" customHeight="true" outlineLevel="0" collapsed="false">
      <c r="A3" s="48" t="s">
        <v>87</v>
      </c>
      <c r="B3" s="48" t="s">
        <v>88</v>
      </c>
      <c r="C3" s="48" t="s">
        <v>89</v>
      </c>
      <c r="D3" s="49" t="s">
        <v>90</v>
      </c>
      <c r="E3" s="48" t="s">
        <v>91</v>
      </c>
      <c r="F3" s="48" t="s">
        <v>92</v>
      </c>
      <c r="G3" s="48" t="s">
        <v>93</v>
      </c>
      <c r="H3" s="48" t="s">
        <v>94</v>
      </c>
      <c r="I3" s="48" t="s">
        <v>221</v>
      </c>
      <c r="J3" s="48" t="s">
        <v>222</v>
      </c>
      <c r="K3" s="48" t="s">
        <v>97</v>
      </c>
      <c r="L3" s="48" t="s">
        <v>223</v>
      </c>
      <c r="M3" s="48" t="s">
        <v>224</v>
      </c>
      <c r="N3" s="48" t="s">
        <v>100</v>
      </c>
      <c r="O3" s="48" t="s">
        <v>101</v>
      </c>
      <c r="P3" s="48" t="s">
        <v>225</v>
      </c>
      <c r="Q3" s="48" t="s">
        <v>226</v>
      </c>
      <c r="R3" s="48" t="s">
        <v>227</v>
      </c>
      <c r="S3" s="48" t="s">
        <v>228</v>
      </c>
      <c r="T3" s="50" t="s">
        <v>106</v>
      </c>
      <c r="U3" s="49" t="s">
        <v>229</v>
      </c>
      <c r="V3" s="49" t="s">
        <v>230</v>
      </c>
      <c r="W3" s="49" t="s">
        <v>231</v>
      </c>
      <c r="X3" s="49" t="s">
        <v>232</v>
      </c>
      <c r="Y3" s="51" t="s">
        <v>229</v>
      </c>
      <c r="Z3" s="51" t="s">
        <v>230</v>
      </c>
      <c r="AA3" s="51" t="s">
        <v>231</v>
      </c>
      <c r="AB3" s="51" t="s">
        <v>232</v>
      </c>
      <c r="AC3" s="90" t="s">
        <v>229</v>
      </c>
      <c r="AD3" s="90" t="s">
        <v>230</v>
      </c>
      <c r="AE3" s="90" t="s">
        <v>231</v>
      </c>
      <c r="AF3" s="90" t="s">
        <v>232</v>
      </c>
    </row>
    <row r="4" customFormat="false" ht="15" hidden="false" customHeight="true" outlineLevel="0" collapsed="false">
      <c r="A4" s="52" t="s">
        <v>111</v>
      </c>
      <c r="B4" s="21" t="s">
        <v>112</v>
      </c>
      <c r="C4" s="53" t="s">
        <v>113</v>
      </c>
      <c r="D4" s="54" t="n">
        <v>0</v>
      </c>
      <c r="E4" s="54" t="n">
        <v>0.98</v>
      </c>
      <c r="F4" s="54" t="n">
        <v>1</v>
      </c>
      <c r="G4" s="54" t="n">
        <v>0</v>
      </c>
      <c r="H4" s="55" t="n">
        <f aca="false">F4+G4</f>
        <v>1</v>
      </c>
      <c r="I4" s="91" t="n">
        <f aca="false">'Assumptions (Export)'!$B$12</f>
        <v>2.52470588235294</v>
      </c>
      <c r="J4" s="22" t="n">
        <f aca="false">IFERROR(F4*I4/E4,0)</f>
        <v>2.57623049219688</v>
      </c>
      <c r="K4" s="58" t="n">
        <v>0</v>
      </c>
      <c r="L4" s="22" t="n">
        <f aca="false">G4*K4</f>
        <v>0</v>
      </c>
      <c r="M4" s="22" t="n">
        <f aca="false">J4+L4</f>
        <v>2.57623049219688</v>
      </c>
      <c r="N4" s="58" t="n">
        <v>0.4</v>
      </c>
      <c r="O4" s="58" t="n">
        <v>0.5</v>
      </c>
      <c r="P4" s="91" t="n">
        <f aca="false">'Assumptions (Export)'!$B$18</f>
        <v>0.1</v>
      </c>
      <c r="Q4" s="92" t="n">
        <f aca="false">M4+N4+O4+P4</f>
        <v>3.57623049219688</v>
      </c>
      <c r="R4" s="91" t="n">
        <f aca="false">'Assumptions (Export)'!$B$17</f>
        <v>0.1</v>
      </c>
      <c r="S4" s="92" t="n">
        <f aca="false">Q4+R4</f>
        <v>3.67623049219688</v>
      </c>
      <c r="T4" s="93"/>
      <c r="U4" s="94" t="n">
        <f aca="false">S4</f>
        <v>3.67623049219688</v>
      </c>
      <c r="V4" s="94" t="n">
        <f aca="false">IFERROR(S4/(1-'Assumptions (Export)'!$B$26),0)</f>
        <v>6.12705082032813</v>
      </c>
      <c r="W4" s="94" t="n">
        <f aca="false">V4+'Assumptions (Export)'!$B$36</f>
        <v>6.57705082032813</v>
      </c>
      <c r="X4" s="94" t="n">
        <f aca="false">W4*(1+'Assumptions (Export)'!$B$28)*(1+'Assumptions (Export)'!$B$29)*(1+'Assumptions (Export)'!$B$30)</f>
        <v>8.73596775210084</v>
      </c>
      <c r="Y4" s="95" t="n">
        <f aca="false">S4-J4*D4/(1+D4)</f>
        <v>3.67623049219688</v>
      </c>
      <c r="Z4" s="95" t="n">
        <f aca="false">IFERROR(Y4/(1-'Assumptions (Export)'!$B$26),0)</f>
        <v>6.12705082032813</v>
      </c>
      <c r="AA4" s="95" t="n">
        <f aca="false">Z4+'Assumptions (Export)'!$B$36</f>
        <v>6.57705082032813</v>
      </c>
      <c r="AB4" s="95" t="n">
        <f aca="false">AA4*(1+'Assumptions (Export)'!$B$28)*(1+'Assumptions (Export)'!$B$29)*(1+'Assumptions (Export)'!$B$30)</f>
        <v>8.73596775210084</v>
      </c>
      <c r="AC4" s="96" t="n">
        <f aca="false">S4</f>
        <v>3.67623049219688</v>
      </c>
      <c r="AD4" s="96" t="n">
        <f aca="false">IFERROR(S4/(1-'Assumptions (Export)'!$B$26),0)</f>
        <v>6.12705082032813</v>
      </c>
      <c r="AE4" s="96" t="n">
        <f aca="false">AD4+'Assumptions (Export)'!$B$37</f>
        <v>8.92705082032813</v>
      </c>
      <c r="AF4" s="96" t="n">
        <f aca="false">AE4*(1+'Assumptions (Export)'!$B$28)*(1+'Assumptions (Export)'!$B$29)*(1+'Assumptions (Export)'!$B$30)</f>
        <v>11.8573552521008</v>
      </c>
    </row>
    <row r="5" customFormat="false" ht="15" hidden="false" customHeight="true" outlineLevel="0" collapsed="false">
      <c r="A5" s="52" t="s">
        <v>114</v>
      </c>
      <c r="B5" s="21" t="s">
        <v>112</v>
      </c>
      <c r="C5" s="53" t="s">
        <v>113</v>
      </c>
      <c r="D5" s="54" t="n">
        <v>0</v>
      </c>
      <c r="E5" s="54" t="n">
        <v>0.92</v>
      </c>
      <c r="F5" s="54" t="n">
        <v>1</v>
      </c>
      <c r="G5" s="54" t="n">
        <v>0</v>
      </c>
      <c r="H5" s="55" t="n">
        <f aca="false">F5+G5</f>
        <v>1</v>
      </c>
      <c r="I5" s="91" t="n">
        <f aca="false">'Assumptions (Export)'!$B$12</f>
        <v>2.52470588235294</v>
      </c>
      <c r="J5" s="22" t="n">
        <f aca="false">IFERROR(F5*I5/E5,0)</f>
        <v>2.74424552429668</v>
      </c>
      <c r="K5" s="58" t="n">
        <v>0</v>
      </c>
      <c r="L5" s="22" t="n">
        <f aca="false">G5*K5</f>
        <v>0</v>
      </c>
      <c r="M5" s="22" t="n">
        <f aca="false">J5+L5</f>
        <v>2.74424552429668</v>
      </c>
      <c r="N5" s="58" t="n">
        <v>0.45</v>
      </c>
      <c r="O5" s="58" t="n">
        <v>0.5</v>
      </c>
      <c r="P5" s="91" t="n">
        <f aca="false">'Assumptions (Export)'!$B$18</f>
        <v>0.1</v>
      </c>
      <c r="Q5" s="92" t="n">
        <f aca="false">M5+N5+O5+P5</f>
        <v>3.79424552429668</v>
      </c>
      <c r="R5" s="91" t="n">
        <f aca="false">'Assumptions (Export)'!$B$17</f>
        <v>0.1</v>
      </c>
      <c r="S5" s="92" t="n">
        <f aca="false">Q5+R5</f>
        <v>3.89424552429668</v>
      </c>
      <c r="T5" s="93"/>
      <c r="U5" s="94" t="n">
        <f aca="false">S5</f>
        <v>3.89424552429668</v>
      </c>
      <c r="V5" s="94" t="n">
        <f aca="false">IFERROR(S5/(1-'Assumptions (Export)'!$B$26),0)</f>
        <v>6.49040920716113</v>
      </c>
      <c r="W5" s="94" t="n">
        <f aca="false">V5+'Assumptions (Export)'!$B$36</f>
        <v>6.94040920716113</v>
      </c>
      <c r="X5" s="94" t="n">
        <f aca="false">W5*(1+'Assumptions (Export)'!$B$28)*(1+'Assumptions (Export)'!$B$29)*(1+'Assumptions (Export)'!$B$30)</f>
        <v>9.21859852941176</v>
      </c>
      <c r="Y5" s="95" t="n">
        <f aca="false">S5-J5*D5/(1+D5)</f>
        <v>3.89424552429668</v>
      </c>
      <c r="Z5" s="95" t="n">
        <f aca="false">IFERROR(Y5/(1-'Assumptions (Export)'!$B$26),0)</f>
        <v>6.49040920716113</v>
      </c>
      <c r="AA5" s="95" t="n">
        <f aca="false">Z5+'Assumptions (Export)'!$B$36</f>
        <v>6.94040920716113</v>
      </c>
      <c r="AB5" s="95" t="n">
        <f aca="false">AA5*(1+'Assumptions (Export)'!$B$28)*(1+'Assumptions (Export)'!$B$29)*(1+'Assumptions (Export)'!$B$30)</f>
        <v>9.21859852941176</v>
      </c>
      <c r="AC5" s="96" t="n">
        <f aca="false">S5</f>
        <v>3.89424552429668</v>
      </c>
      <c r="AD5" s="96" t="n">
        <f aca="false">IFERROR(S5/(1-'Assumptions (Export)'!$B$26),0)</f>
        <v>6.49040920716113</v>
      </c>
      <c r="AE5" s="96" t="n">
        <f aca="false">AD5+'Assumptions (Export)'!$B$37</f>
        <v>9.29040920716113</v>
      </c>
      <c r="AF5" s="96" t="n">
        <f aca="false">AE5*(1+'Assumptions (Export)'!$B$28)*(1+'Assumptions (Export)'!$B$29)*(1+'Assumptions (Export)'!$B$30)</f>
        <v>12.3399860294118</v>
      </c>
    </row>
    <row r="6" customFormat="false" ht="15" hidden="false" customHeight="true" outlineLevel="0" collapsed="false">
      <c r="A6" s="52" t="s">
        <v>115</v>
      </c>
      <c r="B6" s="21" t="s">
        <v>116</v>
      </c>
      <c r="C6" s="53" t="s">
        <v>113</v>
      </c>
      <c r="D6" s="54" t="n">
        <v>0</v>
      </c>
      <c r="E6" s="54" t="n">
        <v>0.88</v>
      </c>
      <c r="F6" s="54" t="n">
        <v>1</v>
      </c>
      <c r="G6" s="54" t="n">
        <v>0</v>
      </c>
      <c r="H6" s="55" t="n">
        <f aca="false">F6+G6</f>
        <v>1</v>
      </c>
      <c r="I6" s="91" t="n">
        <f aca="false">'Assumptions (Export)'!$B$12</f>
        <v>2.52470588235294</v>
      </c>
      <c r="J6" s="22" t="n">
        <f aca="false">IFERROR(F6*I6/E6,0)</f>
        <v>2.86898395721925</v>
      </c>
      <c r="K6" s="58" t="n">
        <v>0</v>
      </c>
      <c r="L6" s="22" t="n">
        <f aca="false">G6*K6</f>
        <v>0</v>
      </c>
      <c r="M6" s="22" t="n">
        <f aca="false">J6+L6</f>
        <v>2.86898395721925</v>
      </c>
      <c r="N6" s="58" t="n">
        <v>0.5</v>
      </c>
      <c r="O6" s="58" t="n">
        <v>0.5</v>
      </c>
      <c r="P6" s="91" t="n">
        <f aca="false">'Assumptions (Export)'!$B$18</f>
        <v>0.1</v>
      </c>
      <c r="Q6" s="92" t="n">
        <f aca="false">M6+N6+O6+P6</f>
        <v>3.96898395721925</v>
      </c>
      <c r="R6" s="91" t="n">
        <f aca="false">'Assumptions (Export)'!$B$17</f>
        <v>0.1</v>
      </c>
      <c r="S6" s="92" t="n">
        <f aca="false">Q6+R6</f>
        <v>4.06898395721925</v>
      </c>
      <c r="T6" s="93"/>
      <c r="U6" s="94" t="n">
        <f aca="false">S6</f>
        <v>4.06898395721925</v>
      </c>
      <c r="V6" s="94" t="n">
        <f aca="false">IFERROR(S6/(1-'Assumptions (Export)'!$B$26),0)</f>
        <v>6.78163992869875</v>
      </c>
      <c r="W6" s="94" t="n">
        <f aca="false">V6+'Assumptions (Export)'!$B$36</f>
        <v>7.23163992869875</v>
      </c>
      <c r="X6" s="94" t="n">
        <f aca="false">W6*(1+'Assumptions (Export)'!$B$28)*(1+'Assumptions (Export)'!$B$29)*(1+'Assumptions (Export)'!$B$30)</f>
        <v>9.60542573529412</v>
      </c>
      <c r="Y6" s="95" t="n">
        <f aca="false">S6-J6*D6/(1+D6)</f>
        <v>4.06898395721925</v>
      </c>
      <c r="Z6" s="95" t="n">
        <f aca="false">IFERROR(Y6/(1-'Assumptions (Export)'!$B$26),0)</f>
        <v>6.78163992869875</v>
      </c>
      <c r="AA6" s="95" t="n">
        <f aca="false">Z6+'Assumptions (Export)'!$B$36</f>
        <v>7.23163992869875</v>
      </c>
      <c r="AB6" s="95" t="n">
        <f aca="false">AA6*(1+'Assumptions (Export)'!$B$28)*(1+'Assumptions (Export)'!$B$29)*(1+'Assumptions (Export)'!$B$30)</f>
        <v>9.60542573529412</v>
      </c>
      <c r="AC6" s="96" t="n">
        <f aca="false">S6</f>
        <v>4.06898395721925</v>
      </c>
      <c r="AD6" s="96" t="n">
        <f aca="false">IFERROR(S6/(1-'Assumptions (Export)'!$B$26),0)</f>
        <v>6.78163992869875</v>
      </c>
      <c r="AE6" s="96" t="n">
        <f aca="false">AD6+'Assumptions (Export)'!$B$37</f>
        <v>9.58163992869875</v>
      </c>
      <c r="AF6" s="96" t="n">
        <f aca="false">AE6*(1+'Assumptions (Export)'!$B$28)*(1+'Assumptions (Export)'!$B$29)*(1+'Assumptions (Export)'!$B$30)</f>
        <v>12.7268132352941</v>
      </c>
    </row>
    <row r="7" customFormat="false" ht="15" hidden="false" customHeight="true" outlineLevel="0" collapsed="false">
      <c r="A7" s="52" t="s">
        <v>117</v>
      </c>
      <c r="B7" s="21" t="s">
        <v>112</v>
      </c>
      <c r="C7" s="53" t="s">
        <v>113</v>
      </c>
      <c r="D7" s="54" t="n">
        <v>0</v>
      </c>
      <c r="E7" s="54" t="n">
        <v>0.85</v>
      </c>
      <c r="F7" s="54" t="n">
        <v>1</v>
      </c>
      <c r="G7" s="54" t="n">
        <v>0</v>
      </c>
      <c r="H7" s="55" t="n">
        <f aca="false">F7+G7</f>
        <v>1</v>
      </c>
      <c r="I7" s="91" t="n">
        <f aca="false">'Assumptions (Export)'!$B$12</f>
        <v>2.52470588235294</v>
      </c>
      <c r="J7" s="22" t="n">
        <f aca="false">IFERROR(F7*I7/E7,0)</f>
        <v>2.97024221453287</v>
      </c>
      <c r="K7" s="58" t="n">
        <v>0</v>
      </c>
      <c r="L7" s="22" t="n">
        <f aca="false">G7*K7</f>
        <v>0</v>
      </c>
      <c r="M7" s="22" t="n">
        <f aca="false">J7+L7</f>
        <v>2.97024221453287</v>
      </c>
      <c r="N7" s="58" t="n">
        <v>0.6</v>
      </c>
      <c r="O7" s="58" t="n">
        <v>0.5</v>
      </c>
      <c r="P7" s="91" t="n">
        <f aca="false">'Assumptions (Export)'!$B$18</f>
        <v>0.1</v>
      </c>
      <c r="Q7" s="92" t="n">
        <f aca="false">M7+N7+O7+P7</f>
        <v>4.17024221453287</v>
      </c>
      <c r="R7" s="91" t="n">
        <f aca="false">'Assumptions (Export)'!$B$17</f>
        <v>0.1</v>
      </c>
      <c r="S7" s="92" t="n">
        <f aca="false">Q7+R7</f>
        <v>4.27024221453287</v>
      </c>
      <c r="T7" s="93"/>
      <c r="U7" s="94" t="n">
        <f aca="false">S7</f>
        <v>4.27024221453287</v>
      </c>
      <c r="V7" s="94" t="n">
        <f aca="false">IFERROR(S7/(1-'Assumptions (Export)'!$B$26),0)</f>
        <v>7.11707035755479</v>
      </c>
      <c r="W7" s="94" t="n">
        <f aca="false">V7+'Assumptions (Export)'!$B$36</f>
        <v>7.56707035755479</v>
      </c>
      <c r="X7" s="94" t="n">
        <f aca="false">W7*(1+'Assumptions (Export)'!$B$28)*(1+'Assumptions (Export)'!$B$29)*(1+'Assumptions (Export)'!$B$30)</f>
        <v>10.0509612024221</v>
      </c>
      <c r="Y7" s="95" t="n">
        <f aca="false">S7-J7*D7/(1+D7)</f>
        <v>4.27024221453287</v>
      </c>
      <c r="Z7" s="95" t="n">
        <f aca="false">IFERROR(Y7/(1-'Assumptions (Export)'!$B$26),0)</f>
        <v>7.11707035755479</v>
      </c>
      <c r="AA7" s="95" t="n">
        <f aca="false">Z7+'Assumptions (Export)'!$B$36</f>
        <v>7.56707035755479</v>
      </c>
      <c r="AB7" s="95" t="n">
        <f aca="false">AA7*(1+'Assumptions (Export)'!$B$28)*(1+'Assumptions (Export)'!$B$29)*(1+'Assumptions (Export)'!$B$30)</f>
        <v>10.0509612024221</v>
      </c>
      <c r="AC7" s="96" t="n">
        <f aca="false">S7</f>
        <v>4.27024221453287</v>
      </c>
      <c r="AD7" s="96" t="n">
        <f aca="false">IFERROR(S7/(1-'Assumptions (Export)'!$B$26),0)</f>
        <v>7.11707035755479</v>
      </c>
      <c r="AE7" s="96" t="n">
        <f aca="false">AD7+'Assumptions (Export)'!$B$37</f>
        <v>9.91707035755479</v>
      </c>
      <c r="AF7" s="96" t="n">
        <f aca="false">AE7*(1+'Assumptions (Export)'!$B$28)*(1+'Assumptions (Export)'!$B$29)*(1+'Assumptions (Export)'!$B$30)</f>
        <v>13.1723487024221</v>
      </c>
    </row>
    <row r="8" customFormat="false" ht="15" hidden="false" customHeight="true" outlineLevel="0" collapsed="false">
      <c r="A8" s="52" t="s">
        <v>118</v>
      </c>
      <c r="B8" s="21" t="s">
        <v>112</v>
      </c>
      <c r="C8" s="53" t="s">
        <v>113</v>
      </c>
      <c r="D8" s="54" t="n">
        <v>0</v>
      </c>
      <c r="E8" s="54" t="n">
        <v>0.82</v>
      </c>
      <c r="F8" s="54" t="n">
        <v>1</v>
      </c>
      <c r="G8" s="54" t="n">
        <v>0</v>
      </c>
      <c r="H8" s="55" t="n">
        <f aca="false">F8+G8</f>
        <v>1</v>
      </c>
      <c r="I8" s="91" t="n">
        <f aca="false">'Assumptions (Export)'!$B$12</f>
        <v>2.52470588235294</v>
      </c>
      <c r="J8" s="22" t="n">
        <f aca="false">IFERROR(F8*I8/E8,0)</f>
        <v>3.07890961262554</v>
      </c>
      <c r="K8" s="58" t="n">
        <v>0</v>
      </c>
      <c r="L8" s="22" t="n">
        <f aca="false">G8*K8</f>
        <v>0</v>
      </c>
      <c r="M8" s="22" t="n">
        <f aca="false">J8+L8</f>
        <v>3.07890961262554</v>
      </c>
      <c r="N8" s="58" t="n">
        <v>0.45</v>
      </c>
      <c r="O8" s="58" t="n">
        <v>0.3</v>
      </c>
      <c r="P8" s="91" t="n">
        <f aca="false">'Assumptions (Export)'!$B$18</f>
        <v>0.1</v>
      </c>
      <c r="Q8" s="92" t="n">
        <f aca="false">M8+N8+O8+P8</f>
        <v>3.92890961262554</v>
      </c>
      <c r="R8" s="91" t="n">
        <f aca="false">'Assumptions (Export)'!$B$17</f>
        <v>0.1</v>
      </c>
      <c r="S8" s="92" t="n">
        <f aca="false">Q8+R8</f>
        <v>4.02890961262554</v>
      </c>
      <c r="T8" s="93"/>
      <c r="U8" s="94" t="n">
        <f aca="false">S8</f>
        <v>4.02890961262554</v>
      </c>
      <c r="V8" s="94" t="n">
        <f aca="false">IFERROR(S8/(1-'Assumptions (Export)'!$B$26),0)</f>
        <v>6.7148493543759</v>
      </c>
      <c r="W8" s="94" t="n">
        <f aca="false">V8+'Assumptions (Export)'!$B$36</f>
        <v>7.1648493543759</v>
      </c>
      <c r="X8" s="94" t="n">
        <f aca="false">W8*(1+'Assumptions (Export)'!$B$28)*(1+'Assumptions (Export)'!$B$29)*(1+'Assumptions (Export)'!$B$30)</f>
        <v>9.51671115494979</v>
      </c>
      <c r="Y8" s="95" t="n">
        <f aca="false">S8-J8*D8/(1+D8)</f>
        <v>4.02890961262554</v>
      </c>
      <c r="Z8" s="95" t="n">
        <f aca="false">IFERROR(Y8/(1-'Assumptions (Export)'!$B$26),0)</f>
        <v>6.7148493543759</v>
      </c>
      <c r="AA8" s="95" t="n">
        <f aca="false">Z8+'Assumptions (Export)'!$B$36</f>
        <v>7.1648493543759</v>
      </c>
      <c r="AB8" s="95" t="n">
        <f aca="false">AA8*(1+'Assumptions (Export)'!$B$28)*(1+'Assumptions (Export)'!$B$29)*(1+'Assumptions (Export)'!$B$30)</f>
        <v>9.51671115494979</v>
      </c>
      <c r="AC8" s="96" t="n">
        <f aca="false">S8</f>
        <v>4.02890961262554</v>
      </c>
      <c r="AD8" s="96" t="n">
        <f aca="false">IFERROR(S8/(1-'Assumptions (Export)'!$B$26),0)</f>
        <v>6.7148493543759</v>
      </c>
      <c r="AE8" s="96" t="n">
        <f aca="false">AD8+'Assumptions (Export)'!$B$37</f>
        <v>9.5148493543759</v>
      </c>
      <c r="AF8" s="96" t="n">
        <f aca="false">AE8*(1+'Assumptions (Export)'!$B$28)*(1+'Assumptions (Export)'!$B$29)*(1+'Assumptions (Export)'!$B$30)</f>
        <v>12.6380986549498</v>
      </c>
    </row>
    <row r="9" customFormat="false" ht="15" hidden="false" customHeight="true" outlineLevel="0" collapsed="false">
      <c r="A9" s="52" t="s">
        <v>120</v>
      </c>
      <c r="B9" s="21" t="s">
        <v>116</v>
      </c>
      <c r="C9" s="53" t="s">
        <v>113</v>
      </c>
      <c r="D9" s="54" t="n">
        <v>0</v>
      </c>
      <c r="E9" s="54" t="n">
        <v>0.75</v>
      </c>
      <c r="F9" s="54" t="n">
        <v>1</v>
      </c>
      <c r="G9" s="54" t="n">
        <v>0</v>
      </c>
      <c r="H9" s="55" t="n">
        <f aca="false">F9+G9</f>
        <v>1</v>
      </c>
      <c r="I9" s="91" t="n">
        <f aca="false">'Assumptions (Export)'!$B$12</f>
        <v>2.52470588235294</v>
      </c>
      <c r="J9" s="22" t="n">
        <f aca="false">IFERROR(F9*I9/E9,0)</f>
        <v>3.36627450980392</v>
      </c>
      <c r="K9" s="58" t="n">
        <v>0</v>
      </c>
      <c r="L9" s="22" t="n">
        <f aca="false">G9*K9</f>
        <v>0</v>
      </c>
      <c r="M9" s="22" t="n">
        <f aca="false">J9+L9</f>
        <v>3.36627450980392</v>
      </c>
      <c r="N9" s="58" t="n">
        <v>0.55</v>
      </c>
      <c r="O9" s="58" t="n">
        <v>0.5</v>
      </c>
      <c r="P9" s="91" t="n">
        <f aca="false">'Assumptions (Export)'!$B$18</f>
        <v>0.1</v>
      </c>
      <c r="Q9" s="92" t="n">
        <f aca="false">M9+N9+O9+P9</f>
        <v>4.51627450980392</v>
      </c>
      <c r="R9" s="91" t="n">
        <f aca="false">'Assumptions (Export)'!$B$17</f>
        <v>0.1</v>
      </c>
      <c r="S9" s="92" t="n">
        <f aca="false">Q9+R9</f>
        <v>4.61627450980392</v>
      </c>
      <c r="T9" s="93"/>
      <c r="U9" s="94" t="n">
        <f aca="false">S9</f>
        <v>4.61627450980392</v>
      </c>
      <c r="V9" s="94" t="n">
        <f aca="false">IFERROR(S9/(1-'Assumptions (Export)'!$B$26),0)</f>
        <v>7.6937908496732</v>
      </c>
      <c r="W9" s="94" t="n">
        <f aca="false">V9+'Assumptions (Export)'!$B$36</f>
        <v>8.1437908496732</v>
      </c>
      <c r="X9" s="94" t="n">
        <f aca="false">W9*(1+'Assumptions (Export)'!$B$28)*(1+'Assumptions (Export)'!$B$29)*(1+'Assumptions (Export)'!$B$30)</f>
        <v>10.8169901960784</v>
      </c>
      <c r="Y9" s="95" t="n">
        <f aca="false">S9-J9*D9/(1+D9)</f>
        <v>4.61627450980392</v>
      </c>
      <c r="Z9" s="95" t="n">
        <f aca="false">IFERROR(Y9/(1-'Assumptions (Export)'!$B$26),0)</f>
        <v>7.6937908496732</v>
      </c>
      <c r="AA9" s="95" t="n">
        <f aca="false">Z9+'Assumptions (Export)'!$B$36</f>
        <v>8.1437908496732</v>
      </c>
      <c r="AB9" s="95" t="n">
        <f aca="false">AA9*(1+'Assumptions (Export)'!$B$28)*(1+'Assumptions (Export)'!$B$29)*(1+'Assumptions (Export)'!$B$30)</f>
        <v>10.8169901960784</v>
      </c>
      <c r="AC9" s="96" t="n">
        <f aca="false">S9</f>
        <v>4.61627450980392</v>
      </c>
      <c r="AD9" s="96" t="n">
        <f aca="false">IFERROR(S9/(1-'Assumptions (Export)'!$B$26),0)</f>
        <v>7.6937908496732</v>
      </c>
      <c r="AE9" s="96" t="n">
        <f aca="false">AD9+'Assumptions (Export)'!$B$37</f>
        <v>10.4937908496732</v>
      </c>
      <c r="AF9" s="96" t="n">
        <f aca="false">AE9*(1+'Assumptions (Export)'!$B$28)*(1+'Assumptions (Export)'!$B$29)*(1+'Assumptions (Export)'!$B$30)</f>
        <v>13.9383776960784</v>
      </c>
    </row>
    <row r="10" customFormat="false" ht="15" hidden="false" customHeight="true" outlineLevel="0" collapsed="false">
      <c r="A10" s="52" t="s">
        <v>121</v>
      </c>
      <c r="B10" s="21" t="s">
        <v>116</v>
      </c>
      <c r="C10" s="53" t="s">
        <v>113</v>
      </c>
      <c r="D10" s="54" t="n">
        <v>0</v>
      </c>
      <c r="E10" s="54" t="n">
        <v>0.72</v>
      </c>
      <c r="F10" s="54" t="n">
        <v>1</v>
      </c>
      <c r="G10" s="54" t="n">
        <v>0</v>
      </c>
      <c r="H10" s="55" t="n">
        <f aca="false">F10+G10</f>
        <v>1</v>
      </c>
      <c r="I10" s="91" t="n">
        <f aca="false">'Assumptions (Export)'!$B$12</f>
        <v>2.52470588235294</v>
      </c>
      <c r="J10" s="22" t="n">
        <f aca="false">IFERROR(F10*I10/E10,0)</f>
        <v>3.50653594771242</v>
      </c>
      <c r="K10" s="58" t="n">
        <v>0</v>
      </c>
      <c r="L10" s="22" t="n">
        <f aca="false">G10*K10</f>
        <v>0</v>
      </c>
      <c r="M10" s="22" t="n">
        <f aca="false">J10+L10</f>
        <v>3.50653594771242</v>
      </c>
      <c r="N10" s="58" t="n">
        <v>0.55</v>
      </c>
      <c r="O10" s="58" t="n">
        <v>0.5</v>
      </c>
      <c r="P10" s="91" t="n">
        <f aca="false">'Assumptions (Export)'!$B$18</f>
        <v>0.1</v>
      </c>
      <c r="Q10" s="92" t="n">
        <f aca="false">M10+N10+O10+P10</f>
        <v>4.65653594771242</v>
      </c>
      <c r="R10" s="91" t="n">
        <f aca="false">'Assumptions (Export)'!$B$17</f>
        <v>0.1</v>
      </c>
      <c r="S10" s="92" t="n">
        <f aca="false">Q10+R10</f>
        <v>4.75653594771242</v>
      </c>
      <c r="T10" s="93"/>
      <c r="U10" s="94" t="n">
        <f aca="false">S10</f>
        <v>4.75653594771242</v>
      </c>
      <c r="V10" s="94" t="n">
        <f aca="false">IFERROR(S10/(1-'Assumptions (Export)'!$B$26),0)</f>
        <v>7.92755991285403</v>
      </c>
      <c r="W10" s="94" t="n">
        <f aca="false">V10+'Assumptions (Export)'!$B$36</f>
        <v>8.37755991285403</v>
      </c>
      <c r="X10" s="94" t="n">
        <f aca="false">W10*(1+'Assumptions (Export)'!$B$28)*(1+'Assumptions (Export)'!$B$29)*(1+'Assumptions (Export)'!$B$30)</f>
        <v>11.1274939542484</v>
      </c>
      <c r="Y10" s="95" t="n">
        <f aca="false">S10-J10*D10/(1+D10)</f>
        <v>4.75653594771242</v>
      </c>
      <c r="Z10" s="95" t="n">
        <f aca="false">IFERROR(Y10/(1-'Assumptions (Export)'!$B$26),0)</f>
        <v>7.92755991285403</v>
      </c>
      <c r="AA10" s="95" t="n">
        <f aca="false">Z10+'Assumptions (Export)'!$B$36</f>
        <v>8.37755991285403</v>
      </c>
      <c r="AB10" s="95" t="n">
        <f aca="false">AA10*(1+'Assumptions (Export)'!$B$28)*(1+'Assumptions (Export)'!$B$29)*(1+'Assumptions (Export)'!$B$30)</f>
        <v>11.1274939542484</v>
      </c>
      <c r="AC10" s="96" t="n">
        <f aca="false">S10</f>
        <v>4.75653594771242</v>
      </c>
      <c r="AD10" s="96" t="n">
        <f aca="false">IFERROR(S10/(1-'Assumptions (Export)'!$B$26),0)</f>
        <v>7.92755991285403</v>
      </c>
      <c r="AE10" s="96" t="n">
        <f aca="false">AD10+'Assumptions (Export)'!$B$37</f>
        <v>10.727559912854</v>
      </c>
      <c r="AF10" s="96" t="n">
        <f aca="false">AE10*(1+'Assumptions (Export)'!$B$28)*(1+'Assumptions (Export)'!$B$29)*(1+'Assumptions (Export)'!$B$30)</f>
        <v>14.2488814542484</v>
      </c>
    </row>
    <row r="11" customFormat="false" ht="15" hidden="false" customHeight="true" outlineLevel="0" collapsed="false">
      <c r="A11" s="52" t="s">
        <v>122</v>
      </c>
      <c r="B11" s="21" t="s">
        <v>112</v>
      </c>
      <c r="C11" s="63" t="s">
        <v>123</v>
      </c>
      <c r="D11" s="54" t="n">
        <v>0</v>
      </c>
      <c r="E11" s="54" t="n">
        <v>0.45</v>
      </c>
      <c r="F11" s="54" t="n">
        <v>1</v>
      </c>
      <c r="G11" s="54" t="n">
        <v>0</v>
      </c>
      <c r="H11" s="55" t="n">
        <f aca="false">F11+G11</f>
        <v>1</v>
      </c>
      <c r="I11" s="91" t="n">
        <f aca="false">'Assumptions (Export)'!$B$12</f>
        <v>2.52470588235294</v>
      </c>
      <c r="J11" s="22" t="n">
        <f aca="false">IFERROR(F11*I11/E11,0)</f>
        <v>5.61045751633987</v>
      </c>
      <c r="K11" s="58" t="n">
        <v>0</v>
      </c>
      <c r="L11" s="22" t="n">
        <f aca="false">G11*K11</f>
        <v>0</v>
      </c>
      <c r="M11" s="22" t="n">
        <f aca="false">J11+L11</f>
        <v>5.61045751633987</v>
      </c>
      <c r="N11" s="58" t="n">
        <v>1</v>
      </c>
      <c r="O11" s="58" t="n">
        <v>0.3</v>
      </c>
      <c r="P11" s="91" t="n">
        <f aca="false">'Assumptions (Export)'!$B$18</f>
        <v>0.1</v>
      </c>
      <c r="Q11" s="92" t="n">
        <f aca="false">M11+N11+O11+P11</f>
        <v>7.01045751633987</v>
      </c>
      <c r="R11" s="91" t="n">
        <f aca="false">'Assumptions (Export)'!$B$17</f>
        <v>0.1</v>
      </c>
      <c r="S11" s="92" t="n">
        <f aca="false">Q11+R11</f>
        <v>7.11045751633987</v>
      </c>
      <c r="T11" s="93"/>
      <c r="U11" s="94" t="n">
        <f aca="false">S11</f>
        <v>7.11045751633987</v>
      </c>
      <c r="V11" s="94" t="n">
        <f aca="false">IFERROR(S11/(1-'Assumptions (Export)'!$B$26),0)</f>
        <v>11.8507625272331</v>
      </c>
      <c r="W11" s="94" t="n">
        <f aca="false">V11+'Assumptions (Export)'!$B$36</f>
        <v>12.3007625272331</v>
      </c>
      <c r="X11" s="94" t="n">
        <f aca="false">W11*(1+'Assumptions (Export)'!$B$28)*(1+'Assumptions (Export)'!$B$29)*(1+'Assumptions (Export)'!$B$30)</f>
        <v>16.3384878267974</v>
      </c>
      <c r="Y11" s="95" t="n">
        <f aca="false">S11-J11*D11/(1+D11)</f>
        <v>7.11045751633987</v>
      </c>
      <c r="Z11" s="95" t="n">
        <f aca="false">IFERROR(Y11/(1-'Assumptions (Export)'!$B$26),0)</f>
        <v>11.8507625272331</v>
      </c>
      <c r="AA11" s="95" t="n">
        <f aca="false">Z11+'Assumptions (Export)'!$B$36</f>
        <v>12.3007625272331</v>
      </c>
      <c r="AB11" s="95" t="n">
        <f aca="false">AA11*(1+'Assumptions (Export)'!$B$28)*(1+'Assumptions (Export)'!$B$29)*(1+'Assumptions (Export)'!$B$30)</f>
        <v>16.3384878267974</v>
      </c>
      <c r="AC11" s="96" t="n">
        <f aca="false">S11</f>
        <v>7.11045751633987</v>
      </c>
      <c r="AD11" s="96" t="n">
        <f aca="false">IFERROR(S11/(1-'Assumptions (Export)'!$B$26),0)</f>
        <v>11.8507625272331</v>
      </c>
      <c r="AE11" s="96" t="n">
        <f aca="false">AD11+'Assumptions (Export)'!$B$37</f>
        <v>14.6507625272331</v>
      </c>
      <c r="AF11" s="96" t="n">
        <f aca="false">AE11*(1+'Assumptions (Export)'!$B$28)*(1+'Assumptions (Export)'!$B$29)*(1+'Assumptions (Export)'!$B$30)</f>
        <v>19.4598753267974</v>
      </c>
    </row>
    <row r="12" customFormat="false" ht="15" hidden="false" customHeight="true" outlineLevel="0" collapsed="false">
      <c r="A12" s="52" t="s">
        <v>124</v>
      </c>
      <c r="B12" s="21" t="s">
        <v>112</v>
      </c>
      <c r="C12" s="63" t="s">
        <v>123</v>
      </c>
      <c r="D12" s="54" t="n">
        <v>0</v>
      </c>
      <c r="E12" s="54" t="n">
        <v>0.38</v>
      </c>
      <c r="F12" s="54" t="n">
        <v>1</v>
      </c>
      <c r="G12" s="54" t="n">
        <v>0</v>
      </c>
      <c r="H12" s="55" t="n">
        <f aca="false">F12+G12</f>
        <v>1</v>
      </c>
      <c r="I12" s="91" t="n">
        <f aca="false">'Assumptions (Export)'!$B$12</f>
        <v>2.52470588235294</v>
      </c>
      <c r="J12" s="22" t="n">
        <f aca="false">IFERROR(F12*I12/E12,0)</f>
        <v>6.64396284829721</v>
      </c>
      <c r="K12" s="58" t="n">
        <v>0</v>
      </c>
      <c r="L12" s="22" t="n">
        <f aca="false">G12*K12</f>
        <v>0</v>
      </c>
      <c r="M12" s="22" t="n">
        <f aca="false">J12+L12</f>
        <v>6.64396284829721</v>
      </c>
      <c r="N12" s="58" t="n">
        <v>1</v>
      </c>
      <c r="O12" s="58" t="n">
        <v>0.3</v>
      </c>
      <c r="P12" s="91" t="n">
        <f aca="false">'Assumptions (Export)'!$B$18</f>
        <v>0.1</v>
      </c>
      <c r="Q12" s="92" t="n">
        <f aca="false">M12+N12+O12+P12</f>
        <v>8.04396284829721</v>
      </c>
      <c r="R12" s="91" t="n">
        <f aca="false">'Assumptions (Export)'!$B$17</f>
        <v>0.1</v>
      </c>
      <c r="S12" s="92" t="n">
        <f aca="false">Q12+R12</f>
        <v>8.14396284829721</v>
      </c>
      <c r="T12" s="93"/>
      <c r="U12" s="94" t="n">
        <f aca="false">S12</f>
        <v>8.14396284829721</v>
      </c>
      <c r="V12" s="94" t="n">
        <f aca="false">IFERROR(S12/(1-'Assumptions (Export)'!$B$26),0)</f>
        <v>13.5732714138287</v>
      </c>
      <c r="W12" s="94" t="n">
        <f aca="false">V12+'Assumptions (Export)'!$B$36</f>
        <v>14.0232714138287</v>
      </c>
      <c r="X12" s="94" t="n">
        <f aca="false">W12*(1+'Assumptions (Export)'!$B$28)*(1+'Assumptions (Export)'!$B$29)*(1+'Assumptions (Export)'!$B$30)</f>
        <v>18.626410255418</v>
      </c>
      <c r="Y12" s="95" t="n">
        <f aca="false">S12-J12*D12/(1+D12)</f>
        <v>8.14396284829721</v>
      </c>
      <c r="Z12" s="95" t="n">
        <f aca="false">IFERROR(Y12/(1-'Assumptions (Export)'!$B$26),0)</f>
        <v>13.5732714138287</v>
      </c>
      <c r="AA12" s="95" t="n">
        <f aca="false">Z12+'Assumptions (Export)'!$B$36</f>
        <v>14.0232714138287</v>
      </c>
      <c r="AB12" s="95" t="n">
        <f aca="false">AA12*(1+'Assumptions (Export)'!$B$28)*(1+'Assumptions (Export)'!$B$29)*(1+'Assumptions (Export)'!$B$30)</f>
        <v>18.626410255418</v>
      </c>
      <c r="AC12" s="96" t="n">
        <f aca="false">S12</f>
        <v>8.14396284829721</v>
      </c>
      <c r="AD12" s="96" t="n">
        <f aca="false">IFERROR(S12/(1-'Assumptions (Export)'!$B$26),0)</f>
        <v>13.5732714138287</v>
      </c>
      <c r="AE12" s="96" t="n">
        <f aca="false">AD12+'Assumptions (Export)'!$B$37</f>
        <v>16.3732714138287</v>
      </c>
      <c r="AF12" s="96" t="n">
        <f aca="false">AE12*(1+'Assumptions (Export)'!$B$28)*(1+'Assumptions (Export)'!$B$29)*(1+'Assumptions (Export)'!$B$30)</f>
        <v>21.747797755418</v>
      </c>
    </row>
    <row r="13" customFormat="false" ht="15" hidden="false" customHeight="true" outlineLevel="0" collapsed="false">
      <c r="A13" s="52" t="s">
        <v>125</v>
      </c>
      <c r="B13" s="21" t="s">
        <v>116</v>
      </c>
      <c r="C13" s="63" t="s">
        <v>123</v>
      </c>
      <c r="D13" s="54" t="n">
        <v>0</v>
      </c>
      <c r="E13" s="54" t="n">
        <v>0.34</v>
      </c>
      <c r="F13" s="54" t="n">
        <v>1</v>
      </c>
      <c r="G13" s="54" t="n">
        <v>0</v>
      </c>
      <c r="H13" s="55" t="n">
        <f aca="false">F13+G13</f>
        <v>1</v>
      </c>
      <c r="I13" s="91" t="n">
        <f aca="false">'Assumptions (Export)'!$B$12</f>
        <v>2.52470588235294</v>
      </c>
      <c r="J13" s="22" t="n">
        <f aca="false">IFERROR(F13*I13/E13,0)</f>
        <v>7.42560553633218</v>
      </c>
      <c r="K13" s="58" t="n">
        <v>0</v>
      </c>
      <c r="L13" s="22" t="n">
        <f aca="false">G13*K13</f>
        <v>0</v>
      </c>
      <c r="M13" s="22" t="n">
        <f aca="false">J13+L13</f>
        <v>7.42560553633218</v>
      </c>
      <c r="N13" s="58" t="n">
        <v>1.25</v>
      </c>
      <c r="O13" s="58" t="n">
        <v>0.35</v>
      </c>
      <c r="P13" s="91" t="n">
        <f aca="false">'Assumptions (Export)'!$B$18</f>
        <v>0.1</v>
      </c>
      <c r="Q13" s="92" t="n">
        <f aca="false">M13+N13+O13+P13</f>
        <v>9.12560553633218</v>
      </c>
      <c r="R13" s="91" t="n">
        <f aca="false">'Assumptions (Export)'!$B$17</f>
        <v>0.1</v>
      </c>
      <c r="S13" s="92" t="n">
        <f aca="false">Q13+R13</f>
        <v>9.22560553633218</v>
      </c>
      <c r="T13" s="93"/>
      <c r="U13" s="94" t="n">
        <f aca="false">S13</f>
        <v>9.22560553633218</v>
      </c>
      <c r="V13" s="94" t="n">
        <f aca="false">IFERROR(S13/(1-'Assumptions (Export)'!$B$26),0)</f>
        <v>15.3760092272203</v>
      </c>
      <c r="W13" s="94" t="n">
        <f aca="false">V13+'Assumptions (Export)'!$B$36</f>
        <v>15.8260092272203</v>
      </c>
      <c r="X13" s="94" t="n">
        <f aca="false">W13*(1+'Assumptions (Export)'!$B$28)*(1+'Assumptions (Export)'!$B$29)*(1+'Assumptions (Export)'!$B$30)</f>
        <v>21.0208967560554</v>
      </c>
      <c r="Y13" s="95" t="n">
        <f aca="false">S13-J13*D13/(1+D13)</f>
        <v>9.22560553633218</v>
      </c>
      <c r="Z13" s="95" t="n">
        <f aca="false">IFERROR(Y13/(1-'Assumptions (Export)'!$B$26),0)</f>
        <v>15.3760092272203</v>
      </c>
      <c r="AA13" s="95" t="n">
        <f aca="false">Z13+'Assumptions (Export)'!$B$36</f>
        <v>15.8260092272203</v>
      </c>
      <c r="AB13" s="95" t="n">
        <f aca="false">AA13*(1+'Assumptions (Export)'!$B$28)*(1+'Assumptions (Export)'!$B$29)*(1+'Assumptions (Export)'!$B$30)</f>
        <v>21.0208967560554</v>
      </c>
      <c r="AC13" s="96" t="n">
        <f aca="false">S13</f>
        <v>9.22560553633218</v>
      </c>
      <c r="AD13" s="96" t="n">
        <f aca="false">IFERROR(S13/(1-'Assumptions (Export)'!$B$26),0)</f>
        <v>15.3760092272203</v>
      </c>
      <c r="AE13" s="96" t="n">
        <f aca="false">AD13+'Assumptions (Export)'!$B$37</f>
        <v>18.1760092272203</v>
      </c>
      <c r="AF13" s="96" t="n">
        <f aca="false">AE13*(1+'Assumptions (Export)'!$B$28)*(1+'Assumptions (Export)'!$B$29)*(1+'Assumptions (Export)'!$B$30)</f>
        <v>24.1422842560554</v>
      </c>
    </row>
    <row r="14" customFormat="false" ht="15" hidden="false" customHeight="true" outlineLevel="0" collapsed="false">
      <c r="A14" s="52" t="s">
        <v>126</v>
      </c>
      <c r="B14" s="21" t="s">
        <v>112</v>
      </c>
      <c r="C14" s="63" t="s">
        <v>123</v>
      </c>
      <c r="D14" s="54" t="n">
        <v>0</v>
      </c>
      <c r="E14" s="54" t="n">
        <v>0.32</v>
      </c>
      <c r="F14" s="54" t="n">
        <v>1</v>
      </c>
      <c r="G14" s="54" t="n">
        <v>0</v>
      </c>
      <c r="H14" s="55" t="n">
        <f aca="false">F14+G14</f>
        <v>1</v>
      </c>
      <c r="I14" s="91" t="n">
        <f aca="false">'Assumptions (Export)'!$B$12</f>
        <v>2.52470588235294</v>
      </c>
      <c r="J14" s="22" t="n">
        <f aca="false">IFERROR(F14*I14/E14,0)</f>
        <v>7.88970588235294</v>
      </c>
      <c r="K14" s="58" t="n">
        <v>0</v>
      </c>
      <c r="L14" s="22" t="n">
        <f aca="false">G14*K14</f>
        <v>0</v>
      </c>
      <c r="M14" s="22" t="n">
        <f aca="false">J14+L14</f>
        <v>7.88970588235294</v>
      </c>
      <c r="N14" s="58" t="n">
        <v>1.15</v>
      </c>
      <c r="O14" s="58" t="n">
        <v>0.35</v>
      </c>
      <c r="P14" s="91" t="n">
        <f aca="false">'Assumptions (Export)'!$B$18</f>
        <v>0.1</v>
      </c>
      <c r="Q14" s="92" t="n">
        <f aca="false">M14+N14+O14+P14</f>
        <v>9.48970588235294</v>
      </c>
      <c r="R14" s="91" t="n">
        <f aca="false">'Assumptions (Export)'!$B$17</f>
        <v>0.1</v>
      </c>
      <c r="S14" s="92" t="n">
        <f aca="false">Q14+R14</f>
        <v>9.58970588235294</v>
      </c>
      <c r="T14" s="93"/>
      <c r="U14" s="94" t="n">
        <f aca="false">S14</f>
        <v>9.58970588235294</v>
      </c>
      <c r="V14" s="94" t="n">
        <f aca="false">IFERROR(S14/(1-'Assumptions (Export)'!$B$26),0)</f>
        <v>15.9828431372549</v>
      </c>
      <c r="W14" s="94" t="n">
        <f aca="false">V14+'Assumptions (Export)'!$B$36</f>
        <v>16.4328431372549</v>
      </c>
      <c r="X14" s="94" t="n">
        <f aca="false">W14*(1+'Assumptions (Export)'!$B$28)*(1+'Assumptions (Export)'!$B$29)*(1+'Assumptions (Export)'!$B$30)</f>
        <v>21.8269238970588</v>
      </c>
      <c r="Y14" s="95" t="n">
        <f aca="false">S14-J14*D14/(1+D14)</f>
        <v>9.58970588235294</v>
      </c>
      <c r="Z14" s="95" t="n">
        <f aca="false">IFERROR(Y14/(1-'Assumptions (Export)'!$B$26),0)</f>
        <v>15.9828431372549</v>
      </c>
      <c r="AA14" s="95" t="n">
        <f aca="false">Z14+'Assumptions (Export)'!$B$36</f>
        <v>16.4328431372549</v>
      </c>
      <c r="AB14" s="95" t="n">
        <f aca="false">AA14*(1+'Assumptions (Export)'!$B$28)*(1+'Assumptions (Export)'!$B$29)*(1+'Assumptions (Export)'!$B$30)</f>
        <v>21.8269238970588</v>
      </c>
      <c r="AC14" s="96" t="n">
        <f aca="false">S14</f>
        <v>9.58970588235294</v>
      </c>
      <c r="AD14" s="96" t="n">
        <f aca="false">IFERROR(S14/(1-'Assumptions (Export)'!$B$26),0)</f>
        <v>15.9828431372549</v>
      </c>
      <c r="AE14" s="96" t="n">
        <f aca="false">AD14+'Assumptions (Export)'!$B$37</f>
        <v>18.7828431372549</v>
      </c>
      <c r="AF14" s="96" t="n">
        <f aca="false">AE14*(1+'Assumptions (Export)'!$B$28)*(1+'Assumptions (Export)'!$B$29)*(1+'Assumptions (Export)'!$B$30)</f>
        <v>24.9483113970588</v>
      </c>
    </row>
    <row r="15" customFormat="false" ht="15" hidden="false" customHeight="true" outlineLevel="0" collapsed="false">
      <c r="A15" s="52" t="s">
        <v>127</v>
      </c>
      <c r="B15" s="21" t="s">
        <v>116</v>
      </c>
      <c r="C15" s="63" t="s">
        <v>123</v>
      </c>
      <c r="D15" s="54" t="n">
        <v>0</v>
      </c>
      <c r="E15" s="54" t="n">
        <v>0.36</v>
      </c>
      <c r="F15" s="54" t="n">
        <v>1</v>
      </c>
      <c r="G15" s="54" t="n">
        <v>0</v>
      </c>
      <c r="H15" s="55" t="n">
        <f aca="false">F15+G15</f>
        <v>1</v>
      </c>
      <c r="I15" s="91" t="n">
        <f aca="false">'Assumptions (Export)'!$B$12</f>
        <v>2.52470588235294</v>
      </c>
      <c r="J15" s="22" t="n">
        <f aca="false">IFERROR(F15*I15/E15,0)</f>
        <v>7.01307189542484</v>
      </c>
      <c r="K15" s="58" t="n">
        <v>0</v>
      </c>
      <c r="L15" s="22" t="n">
        <f aca="false">G15*K15</f>
        <v>0</v>
      </c>
      <c r="M15" s="22" t="n">
        <f aca="false">J15+L15</f>
        <v>7.01307189542484</v>
      </c>
      <c r="N15" s="58" t="n">
        <v>1.15</v>
      </c>
      <c r="O15" s="58" t="n">
        <v>0.35</v>
      </c>
      <c r="P15" s="91" t="n">
        <f aca="false">'Assumptions (Export)'!$B$18</f>
        <v>0.1</v>
      </c>
      <c r="Q15" s="92" t="n">
        <f aca="false">M15+N15+O15+P15</f>
        <v>8.61307189542484</v>
      </c>
      <c r="R15" s="91" t="n">
        <f aca="false">'Assumptions (Export)'!$B$17</f>
        <v>0.1</v>
      </c>
      <c r="S15" s="92" t="n">
        <f aca="false">Q15+R15</f>
        <v>8.71307189542484</v>
      </c>
      <c r="T15" s="93"/>
      <c r="U15" s="94" t="n">
        <f aca="false">S15</f>
        <v>8.71307189542484</v>
      </c>
      <c r="V15" s="94" t="n">
        <f aca="false">IFERROR(S15/(1-'Assumptions (Export)'!$B$26),0)</f>
        <v>14.5217864923747</v>
      </c>
      <c r="W15" s="94" t="n">
        <f aca="false">V15+'Assumptions (Export)'!$B$36</f>
        <v>14.9717864923747</v>
      </c>
      <c r="X15" s="94" t="n">
        <f aca="false">W15*(1+'Assumptions (Export)'!$B$28)*(1+'Assumptions (Export)'!$B$29)*(1+'Assumptions (Export)'!$B$30)</f>
        <v>19.8862754084967</v>
      </c>
      <c r="Y15" s="95" t="n">
        <f aca="false">S15-J15*D15/(1+D15)</f>
        <v>8.71307189542484</v>
      </c>
      <c r="Z15" s="95" t="n">
        <f aca="false">IFERROR(Y15/(1-'Assumptions (Export)'!$B$26),0)</f>
        <v>14.5217864923747</v>
      </c>
      <c r="AA15" s="95" t="n">
        <f aca="false">Z15+'Assumptions (Export)'!$B$36</f>
        <v>14.9717864923747</v>
      </c>
      <c r="AB15" s="95" t="n">
        <f aca="false">AA15*(1+'Assumptions (Export)'!$B$28)*(1+'Assumptions (Export)'!$B$29)*(1+'Assumptions (Export)'!$B$30)</f>
        <v>19.8862754084967</v>
      </c>
      <c r="AC15" s="96" t="n">
        <f aca="false">S15</f>
        <v>8.71307189542484</v>
      </c>
      <c r="AD15" s="96" t="n">
        <f aca="false">IFERROR(S15/(1-'Assumptions (Export)'!$B$26),0)</f>
        <v>14.5217864923747</v>
      </c>
      <c r="AE15" s="96" t="n">
        <f aca="false">AD15+'Assumptions (Export)'!$B$37</f>
        <v>17.3217864923747</v>
      </c>
      <c r="AF15" s="96" t="n">
        <f aca="false">AE15*(1+'Assumptions (Export)'!$B$28)*(1+'Assumptions (Export)'!$B$29)*(1+'Assumptions (Export)'!$B$30)</f>
        <v>23.0076629084967</v>
      </c>
    </row>
    <row r="16" customFormat="false" ht="15" hidden="false" customHeight="true" outlineLevel="0" collapsed="false">
      <c r="A16" s="52" t="s">
        <v>128</v>
      </c>
      <c r="B16" s="21" t="s">
        <v>112</v>
      </c>
      <c r="C16" s="63" t="s">
        <v>123</v>
      </c>
      <c r="D16" s="54" t="n">
        <v>0</v>
      </c>
      <c r="E16" s="54" t="n">
        <v>0.3</v>
      </c>
      <c r="F16" s="54" t="n">
        <v>1</v>
      </c>
      <c r="G16" s="54" t="n">
        <v>0</v>
      </c>
      <c r="H16" s="55" t="n">
        <f aca="false">F16+G16</f>
        <v>1</v>
      </c>
      <c r="I16" s="91" t="n">
        <f aca="false">'Assumptions (Export)'!$B$12</f>
        <v>2.52470588235294</v>
      </c>
      <c r="J16" s="22" t="n">
        <f aca="false">IFERROR(F16*I16/E16,0)</f>
        <v>8.4156862745098</v>
      </c>
      <c r="K16" s="58" t="n">
        <v>0</v>
      </c>
      <c r="L16" s="22" t="n">
        <f aca="false">G16*K16</f>
        <v>0</v>
      </c>
      <c r="M16" s="22" t="n">
        <f aca="false">J16+L16</f>
        <v>8.4156862745098</v>
      </c>
      <c r="N16" s="58" t="n">
        <v>1.15</v>
      </c>
      <c r="O16" s="58" t="n">
        <v>0.35</v>
      </c>
      <c r="P16" s="91" t="n">
        <f aca="false">'Assumptions (Export)'!$B$18</f>
        <v>0.1</v>
      </c>
      <c r="Q16" s="92" t="n">
        <f aca="false">M16+N16+O16+P16</f>
        <v>10.0156862745098</v>
      </c>
      <c r="R16" s="91" t="n">
        <f aca="false">'Assumptions (Export)'!$B$17</f>
        <v>0.1</v>
      </c>
      <c r="S16" s="92" t="n">
        <f aca="false">Q16+R16</f>
        <v>10.1156862745098</v>
      </c>
      <c r="T16" s="93"/>
      <c r="U16" s="94" t="n">
        <f aca="false">S16</f>
        <v>10.1156862745098</v>
      </c>
      <c r="V16" s="94" t="n">
        <f aca="false">IFERROR(S16/(1-'Assumptions (Export)'!$B$26),0)</f>
        <v>16.859477124183</v>
      </c>
      <c r="W16" s="94" t="n">
        <f aca="false">V16+'Assumptions (Export)'!$B$36</f>
        <v>17.309477124183</v>
      </c>
      <c r="X16" s="94" t="n">
        <f aca="false">W16*(1+'Assumptions (Export)'!$B$28)*(1+'Assumptions (Export)'!$B$29)*(1+'Assumptions (Export)'!$B$30)</f>
        <v>22.9913129901961</v>
      </c>
      <c r="Y16" s="95" t="n">
        <f aca="false">S16-J16*D16/(1+D16)</f>
        <v>10.1156862745098</v>
      </c>
      <c r="Z16" s="95" t="n">
        <f aca="false">IFERROR(Y16/(1-'Assumptions (Export)'!$B$26),0)</f>
        <v>16.859477124183</v>
      </c>
      <c r="AA16" s="95" t="n">
        <f aca="false">Z16+'Assumptions (Export)'!$B$36</f>
        <v>17.309477124183</v>
      </c>
      <c r="AB16" s="95" t="n">
        <f aca="false">AA16*(1+'Assumptions (Export)'!$B$28)*(1+'Assumptions (Export)'!$B$29)*(1+'Assumptions (Export)'!$B$30)</f>
        <v>22.9913129901961</v>
      </c>
      <c r="AC16" s="96" t="n">
        <f aca="false">S16</f>
        <v>10.1156862745098</v>
      </c>
      <c r="AD16" s="96" t="n">
        <f aca="false">IFERROR(S16/(1-'Assumptions (Export)'!$B$26),0)</f>
        <v>16.859477124183</v>
      </c>
      <c r="AE16" s="96" t="n">
        <f aca="false">AD16+'Assumptions (Export)'!$B$37</f>
        <v>19.659477124183</v>
      </c>
      <c r="AF16" s="96" t="n">
        <f aca="false">AE16*(1+'Assumptions (Export)'!$B$28)*(1+'Assumptions (Export)'!$B$29)*(1+'Assumptions (Export)'!$B$30)</f>
        <v>26.1127004901961</v>
      </c>
    </row>
    <row r="17" customFormat="false" ht="15" hidden="false" customHeight="true" outlineLevel="0" collapsed="false">
      <c r="A17" s="52" t="s">
        <v>129</v>
      </c>
      <c r="B17" s="21" t="s">
        <v>112</v>
      </c>
      <c r="C17" s="63" t="s">
        <v>123</v>
      </c>
      <c r="D17" s="54" t="n">
        <v>0</v>
      </c>
      <c r="E17" s="54" t="n">
        <v>0.28</v>
      </c>
      <c r="F17" s="54" t="n">
        <v>1</v>
      </c>
      <c r="G17" s="54" t="n">
        <v>0</v>
      </c>
      <c r="H17" s="55" t="n">
        <f aca="false">F17+G17</f>
        <v>1</v>
      </c>
      <c r="I17" s="91" t="n">
        <f aca="false">'Assumptions (Export)'!$B$12</f>
        <v>2.52470588235294</v>
      </c>
      <c r="J17" s="22" t="n">
        <f aca="false">IFERROR(F17*I17/E17,0)</f>
        <v>9.01680672268908</v>
      </c>
      <c r="K17" s="58" t="n">
        <v>0</v>
      </c>
      <c r="L17" s="22" t="n">
        <f aca="false">G17*K17</f>
        <v>0</v>
      </c>
      <c r="M17" s="22" t="n">
        <f aca="false">J17+L17</f>
        <v>9.01680672268908</v>
      </c>
      <c r="N17" s="58" t="n">
        <v>1.2</v>
      </c>
      <c r="O17" s="58" t="n">
        <v>0.35</v>
      </c>
      <c r="P17" s="91" t="n">
        <f aca="false">'Assumptions (Export)'!$B$18</f>
        <v>0.1</v>
      </c>
      <c r="Q17" s="92" t="n">
        <f aca="false">M17+N17+O17+P17</f>
        <v>10.6668067226891</v>
      </c>
      <c r="R17" s="91" t="n">
        <f aca="false">'Assumptions (Export)'!$B$17</f>
        <v>0.1</v>
      </c>
      <c r="S17" s="92" t="n">
        <f aca="false">Q17+R17</f>
        <v>10.7668067226891</v>
      </c>
      <c r="T17" s="93"/>
      <c r="U17" s="94" t="n">
        <f aca="false">S17</f>
        <v>10.7668067226891</v>
      </c>
      <c r="V17" s="94" t="n">
        <f aca="false">IFERROR(S17/(1-'Assumptions (Export)'!$B$26),0)</f>
        <v>17.9446778711485</v>
      </c>
      <c r="W17" s="94" t="n">
        <f aca="false">V17+'Assumptions (Export)'!$B$36</f>
        <v>18.3946778711485</v>
      </c>
      <c r="X17" s="94" t="n">
        <f aca="false">W17*(1+'Assumptions (Export)'!$B$28)*(1+'Assumptions (Export)'!$B$29)*(1+'Assumptions (Export)'!$B$30)</f>
        <v>24.4327308823529</v>
      </c>
      <c r="Y17" s="95" t="n">
        <f aca="false">S17-J17*D17/(1+D17)</f>
        <v>10.7668067226891</v>
      </c>
      <c r="Z17" s="95" t="n">
        <f aca="false">IFERROR(Y17/(1-'Assumptions (Export)'!$B$26),0)</f>
        <v>17.9446778711485</v>
      </c>
      <c r="AA17" s="95" t="n">
        <f aca="false">Z17+'Assumptions (Export)'!$B$36</f>
        <v>18.3946778711485</v>
      </c>
      <c r="AB17" s="95" t="n">
        <f aca="false">AA17*(1+'Assumptions (Export)'!$B$28)*(1+'Assumptions (Export)'!$B$29)*(1+'Assumptions (Export)'!$B$30)</f>
        <v>24.4327308823529</v>
      </c>
      <c r="AC17" s="96" t="n">
        <f aca="false">S17</f>
        <v>10.7668067226891</v>
      </c>
      <c r="AD17" s="96" t="n">
        <f aca="false">IFERROR(S17/(1-'Assumptions (Export)'!$B$26),0)</f>
        <v>17.9446778711485</v>
      </c>
      <c r="AE17" s="96" t="n">
        <f aca="false">AD17+'Assumptions (Export)'!$B$37</f>
        <v>20.7446778711485</v>
      </c>
      <c r="AF17" s="96" t="n">
        <f aca="false">AE17*(1+'Assumptions (Export)'!$B$28)*(1+'Assumptions (Export)'!$B$29)*(1+'Assumptions (Export)'!$B$30)</f>
        <v>27.5541183823529</v>
      </c>
    </row>
    <row r="18" customFormat="false" ht="15" hidden="false" customHeight="true" outlineLevel="0" collapsed="false">
      <c r="A18" s="52" t="s">
        <v>130</v>
      </c>
      <c r="B18" s="21" t="s">
        <v>112</v>
      </c>
      <c r="C18" s="63" t="s">
        <v>123</v>
      </c>
      <c r="D18" s="54" t="n">
        <v>0</v>
      </c>
      <c r="E18" s="54" t="n">
        <v>0.3</v>
      </c>
      <c r="F18" s="54" t="n">
        <v>1</v>
      </c>
      <c r="G18" s="54" t="n">
        <v>0</v>
      </c>
      <c r="H18" s="55" t="n">
        <f aca="false">F18+G18</f>
        <v>1</v>
      </c>
      <c r="I18" s="91" t="n">
        <f aca="false">'Assumptions (Export)'!$B$12</f>
        <v>2.52470588235294</v>
      </c>
      <c r="J18" s="22" t="n">
        <f aca="false">IFERROR(F18*I18/E18,0)</f>
        <v>8.4156862745098</v>
      </c>
      <c r="K18" s="58" t="n">
        <v>0</v>
      </c>
      <c r="L18" s="22" t="n">
        <f aca="false">G18*K18</f>
        <v>0</v>
      </c>
      <c r="M18" s="22" t="n">
        <f aca="false">J18+L18</f>
        <v>8.4156862745098</v>
      </c>
      <c r="N18" s="58" t="n">
        <v>1.15</v>
      </c>
      <c r="O18" s="58" t="n">
        <v>0.33</v>
      </c>
      <c r="P18" s="91" t="n">
        <f aca="false">'Assumptions (Export)'!$B$18</f>
        <v>0.1</v>
      </c>
      <c r="Q18" s="92" t="n">
        <f aca="false">M18+N18+O18+P18</f>
        <v>9.9956862745098</v>
      </c>
      <c r="R18" s="91" t="n">
        <f aca="false">'Assumptions (Export)'!$B$17</f>
        <v>0.1</v>
      </c>
      <c r="S18" s="92" t="n">
        <f aca="false">Q18+R18</f>
        <v>10.0956862745098</v>
      </c>
      <c r="T18" s="93"/>
      <c r="U18" s="94" t="n">
        <f aca="false">S18</f>
        <v>10.0956862745098</v>
      </c>
      <c r="V18" s="94" t="n">
        <f aca="false">IFERROR(S18/(1-'Assumptions (Export)'!$B$26),0)</f>
        <v>16.8261437908497</v>
      </c>
      <c r="W18" s="94" t="n">
        <f aca="false">V18+'Assumptions (Export)'!$B$36</f>
        <v>17.2761437908497</v>
      </c>
      <c r="X18" s="94" t="n">
        <f aca="false">W18*(1+'Assumptions (Export)'!$B$28)*(1+'Assumptions (Export)'!$B$29)*(1+'Assumptions (Export)'!$B$30)</f>
        <v>22.9470379901961</v>
      </c>
      <c r="Y18" s="95" t="n">
        <f aca="false">S18-J18*D18/(1+D18)</f>
        <v>10.0956862745098</v>
      </c>
      <c r="Z18" s="95" t="n">
        <f aca="false">IFERROR(Y18/(1-'Assumptions (Export)'!$B$26),0)</f>
        <v>16.8261437908497</v>
      </c>
      <c r="AA18" s="95" t="n">
        <f aca="false">Z18+'Assumptions (Export)'!$B$36</f>
        <v>17.2761437908497</v>
      </c>
      <c r="AB18" s="95" t="n">
        <f aca="false">AA18*(1+'Assumptions (Export)'!$B$28)*(1+'Assumptions (Export)'!$B$29)*(1+'Assumptions (Export)'!$B$30)</f>
        <v>22.9470379901961</v>
      </c>
      <c r="AC18" s="96" t="n">
        <f aca="false">S18</f>
        <v>10.0956862745098</v>
      </c>
      <c r="AD18" s="96" t="n">
        <f aca="false">IFERROR(S18/(1-'Assumptions (Export)'!$B$26),0)</f>
        <v>16.8261437908497</v>
      </c>
      <c r="AE18" s="96" t="n">
        <f aca="false">AD18+'Assumptions (Export)'!$B$37</f>
        <v>19.6261437908497</v>
      </c>
      <c r="AF18" s="96" t="n">
        <f aca="false">AE18*(1+'Assumptions (Export)'!$B$28)*(1+'Assumptions (Export)'!$B$29)*(1+'Assumptions (Export)'!$B$30)</f>
        <v>26.0684254901961</v>
      </c>
    </row>
    <row r="19" customFormat="false" ht="15" hidden="false" customHeight="true" outlineLevel="0" collapsed="false">
      <c r="A19" s="52" t="s">
        <v>131</v>
      </c>
      <c r="B19" s="21" t="s">
        <v>116</v>
      </c>
      <c r="C19" s="63" t="s">
        <v>123</v>
      </c>
      <c r="D19" s="54" t="n">
        <v>0</v>
      </c>
      <c r="E19" s="54" t="n">
        <v>0.3</v>
      </c>
      <c r="F19" s="54" t="n">
        <v>1</v>
      </c>
      <c r="G19" s="54" t="n">
        <v>0</v>
      </c>
      <c r="H19" s="55" t="n">
        <f aca="false">F19+G19</f>
        <v>1</v>
      </c>
      <c r="I19" s="91" t="n">
        <f aca="false">'Assumptions (Export)'!$B$12</f>
        <v>2.52470588235294</v>
      </c>
      <c r="J19" s="22" t="n">
        <f aca="false">IFERROR(F19*I19/E19,0)</f>
        <v>8.4156862745098</v>
      </c>
      <c r="K19" s="58" t="n">
        <v>0</v>
      </c>
      <c r="L19" s="22" t="n">
        <f aca="false">G19*K19</f>
        <v>0</v>
      </c>
      <c r="M19" s="22" t="n">
        <f aca="false">J19+L19</f>
        <v>8.4156862745098</v>
      </c>
      <c r="N19" s="58" t="n">
        <v>1.15</v>
      </c>
      <c r="O19" s="58" t="n">
        <v>0.35</v>
      </c>
      <c r="P19" s="91" t="n">
        <f aca="false">'Assumptions (Export)'!$B$18</f>
        <v>0.1</v>
      </c>
      <c r="Q19" s="92" t="n">
        <f aca="false">M19+N19+O19+P19</f>
        <v>10.0156862745098</v>
      </c>
      <c r="R19" s="91" t="n">
        <f aca="false">'Assumptions (Export)'!$B$17</f>
        <v>0.1</v>
      </c>
      <c r="S19" s="92" t="n">
        <f aca="false">Q19+R19</f>
        <v>10.1156862745098</v>
      </c>
      <c r="T19" s="93"/>
      <c r="U19" s="94" t="n">
        <f aca="false">S19</f>
        <v>10.1156862745098</v>
      </c>
      <c r="V19" s="94" t="n">
        <f aca="false">IFERROR(S19/(1-'Assumptions (Export)'!$B$26),0)</f>
        <v>16.859477124183</v>
      </c>
      <c r="W19" s="94" t="n">
        <f aca="false">V19+'Assumptions (Export)'!$B$36</f>
        <v>17.309477124183</v>
      </c>
      <c r="X19" s="94" t="n">
        <f aca="false">W19*(1+'Assumptions (Export)'!$B$28)*(1+'Assumptions (Export)'!$B$29)*(1+'Assumptions (Export)'!$B$30)</f>
        <v>22.9913129901961</v>
      </c>
      <c r="Y19" s="95" t="n">
        <f aca="false">S19-J19*D19/(1+D19)</f>
        <v>10.1156862745098</v>
      </c>
      <c r="Z19" s="95" t="n">
        <f aca="false">IFERROR(Y19/(1-'Assumptions (Export)'!$B$26),0)</f>
        <v>16.859477124183</v>
      </c>
      <c r="AA19" s="95" t="n">
        <f aca="false">Z19+'Assumptions (Export)'!$B$36</f>
        <v>17.309477124183</v>
      </c>
      <c r="AB19" s="95" t="n">
        <f aca="false">AA19*(1+'Assumptions (Export)'!$B$28)*(1+'Assumptions (Export)'!$B$29)*(1+'Assumptions (Export)'!$B$30)</f>
        <v>22.9913129901961</v>
      </c>
      <c r="AC19" s="96" t="n">
        <f aca="false">S19</f>
        <v>10.1156862745098</v>
      </c>
      <c r="AD19" s="96" t="n">
        <f aca="false">IFERROR(S19/(1-'Assumptions (Export)'!$B$26),0)</f>
        <v>16.859477124183</v>
      </c>
      <c r="AE19" s="96" t="n">
        <f aca="false">AD19+'Assumptions (Export)'!$B$37</f>
        <v>19.659477124183</v>
      </c>
      <c r="AF19" s="96" t="n">
        <f aca="false">AE19*(1+'Assumptions (Export)'!$B$28)*(1+'Assumptions (Export)'!$B$29)*(1+'Assumptions (Export)'!$B$30)</f>
        <v>26.1127004901961</v>
      </c>
    </row>
    <row r="20" customFormat="false" ht="15" hidden="false" customHeight="true" outlineLevel="0" collapsed="false">
      <c r="A20" s="52" t="s">
        <v>132</v>
      </c>
      <c r="B20" s="21" t="s">
        <v>112</v>
      </c>
      <c r="C20" s="64" t="s">
        <v>133</v>
      </c>
      <c r="D20" s="54" t="n">
        <v>0</v>
      </c>
      <c r="E20" s="54" t="n">
        <v>0.06</v>
      </c>
      <c r="F20" s="54" t="n">
        <v>1</v>
      </c>
      <c r="G20" s="54" t="n">
        <v>0</v>
      </c>
      <c r="H20" s="55" t="n">
        <f aca="false">F20+G20</f>
        <v>1</v>
      </c>
      <c r="I20" s="91" t="n">
        <f aca="false">'Assumptions (Export)'!$B$12</f>
        <v>2.52470588235294</v>
      </c>
      <c r="J20" s="22" t="n">
        <f aca="false">IFERROR(F20*I20/E20,0)</f>
        <v>42.078431372549</v>
      </c>
      <c r="K20" s="58" t="n">
        <v>0</v>
      </c>
      <c r="L20" s="22" t="n">
        <f aca="false">G20*K20</f>
        <v>0</v>
      </c>
      <c r="M20" s="22" t="n">
        <f aca="false">J20+L20</f>
        <v>42.078431372549</v>
      </c>
      <c r="N20" s="58" t="n">
        <v>0.2</v>
      </c>
      <c r="O20" s="58" t="n">
        <v>0.3</v>
      </c>
      <c r="P20" s="91" t="n">
        <f aca="false">'Assumptions (Export)'!$B$18</f>
        <v>0.1</v>
      </c>
      <c r="Q20" s="92" t="n">
        <f aca="false">M20+N20+O20+P20</f>
        <v>42.678431372549</v>
      </c>
      <c r="R20" s="91" t="n">
        <f aca="false">'Assumptions (Export)'!$B$17</f>
        <v>0.1</v>
      </c>
      <c r="S20" s="92" t="n">
        <f aca="false">Q20+R20</f>
        <v>42.778431372549</v>
      </c>
      <c r="T20" s="93"/>
      <c r="U20" s="94" t="n">
        <f aca="false">S20</f>
        <v>42.778431372549</v>
      </c>
      <c r="V20" s="94" t="n">
        <f aca="false">IFERROR(S20/(1-'Assumptions (Export)'!$B$26),0)</f>
        <v>71.2973856209151</v>
      </c>
      <c r="W20" s="94" t="n">
        <f aca="false">V20+'Assumptions (Export)'!$B$36</f>
        <v>71.7473856209151</v>
      </c>
      <c r="X20" s="94" t="n">
        <f aca="false">W20*(1+'Assumptions (Export)'!$B$28)*(1+'Assumptions (Export)'!$B$29)*(1+'Assumptions (Export)'!$B$30)</f>
        <v>95.2984649509804</v>
      </c>
      <c r="Y20" s="95" t="n">
        <f aca="false">S20-J20*D20/(1+D20)</f>
        <v>42.778431372549</v>
      </c>
      <c r="Z20" s="95" t="n">
        <f aca="false">IFERROR(Y20/(1-'Assumptions (Export)'!$B$26),0)</f>
        <v>71.2973856209151</v>
      </c>
      <c r="AA20" s="95" t="n">
        <f aca="false">Z20+'Assumptions (Export)'!$B$36</f>
        <v>71.7473856209151</v>
      </c>
      <c r="AB20" s="95" t="n">
        <f aca="false">AA20*(1+'Assumptions (Export)'!$B$28)*(1+'Assumptions (Export)'!$B$29)*(1+'Assumptions (Export)'!$B$30)</f>
        <v>95.2984649509804</v>
      </c>
      <c r="AC20" s="96" t="n">
        <f aca="false">S20</f>
        <v>42.778431372549</v>
      </c>
      <c r="AD20" s="96" t="n">
        <f aca="false">IFERROR(S20/(1-'Assumptions (Export)'!$B$26),0)</f>
        <v>71.2973856209151</v>
      </c>
      <c r="AE20" s="96" t="n">
        <f aca="false">AD20+'Assumptions (Export)'!$B$37</f>
        <v>74.0973856209151</v>
      </c>
      <c r="AF20" s="96" t="n">
        <f aca="false">AE20*(1+'Assumptions (Export)'!$B$28)*(1+'Assumptions (Export)'!$B$29)*(1+'Assumptions (Export)'!$B$30)</f>
        <v>98.4198524509804</v>
      </c>
    </row>
    <row r="21" customFormat="false" ht="15" hidden="false" customHeight="true" outlineLevel="0" collapsed="false">
      <c r="A21" s="52" t="s">
        <v>134</v>
      </c>
      <c r="B21" s="21" t="s">
        <v>116</v>
      </c>
      <c r="C21" s="64" t="s">
        <v>133</v>
      </c>
      <c r="D21" s="54" t="n">
        <v>0</v>
      </c>
      <c r="E21" s="54" t="n">
        <v>0.11</v>
      </c>
      <c r="F21" s="54" t="n">
        <v>1</v>
      </c>
      <c r="G21" s="54" t="n">
        <v>0</v>
      </c>
      <c r="H21" s="55" t="n">
        <f aca="false">F21+G21</f>
        <v>1</v>
      </c>
      <c r="I21" s="91" t="n">
        <f aca="false">'Assumptions (Export)'!$B$12</f>
        <v>2.52470588235294</v>
      </c>
      <c r="J21" s="22" t="n">
        <f aca="false">IFERROR(F21*I21/E21,0)</f>
        <v>22.951871657754</v>
      </c>
      <c r="K21" s="58" t="n">
        <v>0</v>
      </c>
      <c r="L21" s="22" t="n">
        <f aca="false">G21*K21</f>
        <v>0</v>
      </c>
      <c r="M21" s="22" t="n">
        <f aca="false">J21+L21</f>
        <v>22.951871657754</v>
      </c>
      <c r="N21" s="58" t="n">
        <v>0.2</v>
      </c>
      <c r="O21" s="58" t="n">
        <v>0.15</v>
      </c>
      <c r="P21" s="91" t="n">
        <f aca="false">'Assumptions (Export)'!$B$18</f>
        <v>0.1</v>
      </c>
      <c r="Q21" s="92" t="n">
        <f aca="false">M21+N21+O21+P21</f>
        <v>23.401871657754</v>
      </c>
      <c r="R21" s="91" t="n">
        <f aca="false">'Assumptions (Export)'!$B$17</f>
        <v>0.1</v>
      </c>
      <c r="S21" s="92" t="n">
        <f aca="false">Q21+R21</f>
        <v>23.501871657754</v>
      </c>
      <c r="T21" s="93"/>
      <c r="U21" s="94" t="n">
        <f aca="false">S21</f>
        <v>23.501871657754</v>
      </c>
      <c r="V21" s="94" t="n">
        <f aca="false">IFERROR(S21/(1-'Assumptions (Export)'!$B$26),0)</f>
        <v>39.1697860962567</v>
      </c>
      <c r="W21" s="94" t="n">
        <f aca="false">V21+'Assumptions (Export)'!$B$36</f>
        <v>39.6197860962567</v>
      </c>
      <c r="X21" s="94" t="n">
        <f aca="false">W21*(1+'Assumptions (Export)'!$B$28)*(1+'Assumptions (Export)'!$B$29)*(1+'Assumptions (Export)'!$B$30)</f>
        <v>52.624980882353</v>
      </c>
      <c r="Y21" s="95" t="n">
        <f aca="false">S21-J21*D21/(1+D21)</f>
        <v>23.501871657754</v>
      </c>
      <c r="Z21" s="95" t="n">
        <f aca="false">IFERROR(Y21/(1-'Assumptions (Export)'!$B$26),0)</f>
        <v>39.1697860962567</v>
      </c>
      <c r="AA21" s="95" t="n">
        <f aca="false">Z21+'Assumptions (Export)'!$B$36</f>
        <v>39.6197860962567</v>
      </c>
      <c r="AB21" s="95" t="n">
        <f aca="false">AA21*(1+'Assumptions (Export)'!$B$28)*(1+'Assumptions (Export)'!$B$29)*(1+'Assumptions (Export)'!$B$30)</f>
        <v>52.624980882353</v>
      </c>
      <c r="AC21" s="96" t="n">
        <f aca="false">S21</f>
        <v>23.501871657754</v>
      </c>
      <c r="AD21" s="96" t="n">
        <f aca="false">IFERROR(S21/(1-'Assumptions (Export)'!$B$26),0)</f>
        <v>39.1697860962567</v>
      </c>
      <c r="AE21" s="96" t="n">
        <f aca="false">AD21+'Assumptions (Export)'!$B$37</f>
        <v>41.9697860962567</v>
      </c>
      <c r="AF21" s="96" t="n">
        <f aca="false">AE21*(1+'Assumptions (Export)'!$B$28)*(1+'Assumptions (Export)'!$B$29)*(1+'Assumptions (Export)'!$B$30)</f>
        <v>55.7463683823529</v>
      </c>
    </row>
    <row r="22" customFormat="false" ht="15" hidden="false" customHeight="true" outlineLevel="0" collapsed="false">
      <c r="A22" s="52" t="s">
        <v>135</v>
      </c>
      <c r="B22" s="21" t="s">
        <v>116</v>
      </c>
      <c r="C22" s="64" t="s">
        <v>133</v>
      </c>
      <c r="D22" s="54" t="n">
        <v>0</v>
      </c>
      <c r="E22" s="54" t="n">
        <v>0.05</v>
      </c>
      <c r="F22" s="54" t="n">
        <v>1</v>
      </c>
      <c r="G22" s="54" t="n">
        <v>0</v>
      </c>
      <c r="H22" s="55" t="n">
        <f aca="false">F22+G22</f>
        <v>1</v>
      </c>
      <c r="I22" s="91" t="n">
        <f aca="false">'Assumptions (Export)'!$B$12</f>
        <v>2.52470588235294</v>
      </c>
      <c r="J22" s="22" t="n">
        <f aca="false">IFERROR(F22*I22/E22,0)</f>
        <v>50.4941176470588</v>
      </c>
      <c r="K22" s="58" t="n">
        <v>0</v>
      </c>
      <c r="L22" s="22" t="n">
        <f aca="false">G22*K22</f>
        <v>0</v>
      </c>
      <c r="M22" s="22" t="n">
        <f aca="false">J22+L22</f>
        <v>50.4941176470588</v>
      </c>
      <c r="N22" s="58" t="n">
        <v>0.4</v>
      </c>
      <c r="O22" s="58" t="n">
        <v>0.25</v>
      </c>
      <c r="P22" s="91" t="n">
        <f aca="false">'Assumptions (Export)'!$B$18</f>
        <v>0.1</v>
      </c>
      <c r="Q22" s="92" t="n">
        <f aca="false">M22+N22+O22+P22</f>
        <v>51.2441176470588</v>
      </c>
      <c r="R22" s="91" t="n">
        <f aca="false">'Assumptions (Export)'!$B$17</f>
        <v>0.1</v>
      </c>
      <c r="S22" s="92" t="n">
        <f aca="false">Q22+R22</f>
        <v>51.3441176470588</v>
      </c>
      <c r="T22" s="93"/>
      <c r="U22" s="94" t="n">
        <f aca="false">S22</f>
        <v>51.3441176470588</v>
      </c>
      <c r="V22" s="94" t="n">
        <f aca="false">IFERROR(S22/(1-'Assumptions (Export)'!$B$26),0)</f>
        <v>85.5735294117647</v>
      </c>
      <c r="W22" s="94" t="n">
        <f aca="false">V22+'Assumptions (Export)'!$B$36</f>
        <v>86.0235294117647</v>
      </c>
      <c r="X22" s="94" t="n">
        <f aca="false">W22*(1+'Assumptions (Export)'!$B$28)*(1+'Assumptions (Export)'!$B$29)*(1+'Assumptions (Export)'!$B$30)</f>
        <v>114.260752941176</v>
      </c>
      <c r="Y22" s="95" t="n">
        <f aca="false">S22-J22*D22/(1+D22)</f>
        <v>51.3441176470588</v>
      </c>
      <c r="Z22" s="95" t="n">
        <f aca="false">IFERROR(Y22/(1-'Assumptions (Export)'!$B$26),0)</f>
        <v>85.5735294117647</v>
      </c>
      <c r="AA22" s="95" t="n">
        <f aca="false">Z22+'Assumptions (Export)'!$B$36</f>
        <v>86.0235294117647</v>
      </c>
      <c r="AB22" s="95" t="n">
        <f aca="false">AA22*(1+'Assumptions (Export)'!$B$28)*(1+'Assumptions (Export)'!$B$29)*(1+'Assumptions (Export)'!$B$30)</f>
        <v>114.260752941176</v>
      </c>
      <c r="AC22" s="96" t="n">
        <f aca="false">S22</f>
        <v>51.3441176470588</v>
      </c>
      <c r="AD22" s="96" t="n">
        <f aca="false">IFERROR(S22/(1-'Assumptions (Export)'!$B$26),0)</f>
        <v>85.5735294117647</v>
      </c>
      <c r="AE22" s="96" t="n">
        <f aca="false">AD22+'Assumptions (Export)'!$B$37</f>
        <v>88.3735294117647</v>
      </c>
      <c r="AF22" s="96" t="n">
        <f aca="false">AE22*(1+'Assumptions (Export)'!$B$28)*(1+'Assumptions (Export)'!$B$29)*(1+'Assumptions (Export)'!$B$30)</f>
        <v>117.382140441176</v>
      </c>
    </row>
    <row r="23" customFormat="false" ht="15" hidden="false" customHeight="true" outlineLevel="0" collapsed="false">
      <c r="A23" s="52" t="s">
        <v>136</v>
      </c>
      <c r="B23" s="21" t="s">
        <v>116</v>
      </c>
      <c r="C23" s="64" t="s">
        <v>133</v>
      </c>
      <c r="D23" s="54" t="n">
        <v>0</v>
      </c>
      <c r="E23" s="54" t="n">
        <v>0.08</v>
      </c>
      <c r="F23" s="54" t="n">
        <v>1</v>
      </c>
      <c r="G23" s="54" t="n">
        <v>0</v>
      </c>
      <c r="H23" s="55" t="n">
        <f aca="false">F23+G23</f>
        <v>1</v>
      </c>
      <c r="I23" s="91" t="n">
        <f aca="false">'Assumptions (Export)'!$B$12</f>
        <v>2.52470588235294</v>
      </c>
      <c r="J23" s="22" t="n">
        <f aca="false">IFERROR(F23*I23/E23,0)</f>
        <v>31.5588235294118</v>
      </c>
      <c r="K23" s="58" t="n">
        <v>0</v>
      </c>
      <c r="L23" s="22" t="n">
        <f aca="false">G23*K23</f>
        <v>0</v>
      </c>
      <c r="M23" s="22" t="n">
        <f aca="false">J23+L23</f>
        <v>31.5588235294118</v>
      </c>
      <c r="N23" s="58" t="n">
        <v>0.1</v>
      </c>
      <c r="O23" s="58" t="n">
        <v>0.15</v>
      </c>
      <c r="P23" s="91" t="n">
        <f aca="false">'Assumptions (Export)'!$B$18</f>
        <v>0.1</v>
      </c>
      <c r="Q23" s="92" t="n">
        <f aca="false">M23+N23+O23+P23</f>
        <v>31.9088235294118</v>
      </c>
      <c r="R23" s="91" t="n">
        <f aca="false">'Assumptions (Export)'!$B$17</f>
        <v>0.1</v>
      </c>
      <c r="S23" s="92" t="n">
        <f aca="false">Q23+R23</f>
        <v>32.0088235294118</v>
      </c>
      <c r="T23" s="93"/>
      <c r="U23" s="94" t="n">
        <f aca="false">S23</f>
        <v>32.0088235294118</v>
      </c>
      <c r="V23" s="94" t="n">
        <f aca="false">IFERROR(S23/(1-'Assumptions (Export)'!$B$26),0)</f>
        <v>53.3480392156863</v>
      </c>
      <c r="W23" s="94" t="n">
        <f aca="false">V23+'Assumptions (Export)'!$B$36</f>
        <v>53.7980392156863</v>
      </c>
      <c r="X23" s="94" t="n">
        <f aca="false">W23*(1+'Assumptions (Export)'!$B$28)*(1+'Assumptions (Export)'!$B$29)*(1+'Assumptions (Export)'!$B$30)</f>
        <v>71.4572455882353</v>
      </c>
      <c r="Y23" s="95" t="n">
        <f aca="false">S23-J23*D23/(1+D23)</f>
        <v>32.0088235294118</v>
      </c>
      <c r="Z23" s="95" t="n">
        <f aca="false">IFERROR(Y23/(1-'Assumptions (Export)'!$B$26),0)</f>
        <v>53.3480392156863</v>
      </c>
      <c r="AA23" s="95" t="n">
        <f aca="false">Z23+'Assumptions (Export)'!$B$36</f>
        <v>53.7980392156863</v>
      </c>
      <c r="AB23" s="95" t="n">
        <f aca="false">AA23*(1+'Assumptions (Export)'!$B$28)*(1+'Assumptions (Export)'!$B$29)*(1+'Assumptions (Export)'!$B$30)</f>
        <v>71.4572455882353</v>
      </c>
      <c r="AC23" s="96" t="n">
        <f aca="false">S23</f>
        <v>32.0088235294118</v>
      </c>
      <c r="AD23" s="96" t="n">
        <f aca="false">IFERROR(S23/(1-'Assumptions (Export)'!$B$26),0)</f>
        <v>53.3480392156863</v>
      </c>
      <c r="AE23" s="96" t="n">
        <f aca="false">AD23+'Assumptions (Export)'!$B$37</f>
        <v>56.1480392156863</v>
      </c>
      <c r="AF23" s="96" t="n">
        <f aca="false">AE23*(1+'Assumptions (Export)'!$B$28)*(1+'Assumptions (Export)'!$B$29)*(1+'Assumptions (Export)'!$B$30)</f>
        <v>74.5786330882353</v>
      </c>
    </row>
    <row r="24" customFormat="false" ht="15" hidden="false" customHeight="true" outlineLevel="0" collapsed="false">
      <c r="A24" s="52" t="s">
        <v>137</v>
      </c>
      <c r="B24" s="21" t="s">
        <v>116</v>
      </c>
      <c r="C24" s="64" t="s">
        <v>133</v>
      </c>
      <c r="D24" s="54" t="n">
        <v>0</v>
      </c>
      <c r="E24" s="54" t="n">
        <v>0.03</v>
      </c>
      <c r="F24" s="54" t="n">
        <v>1</v>
      </c>
      <c r="G24" s="54" t="n">
        <v>0</v>
      </c>
      <c r="H24" s="55" t="n">
        <f aca="false">F24+G24</f>
        <v>1</v>
      </c>
      <c r="I24" s="91" t="n">
        <f aca="false">'Assumptions (Export)'!$B$12</f>
        <v>2.52470588235294</v>
      </c>
      <c r="J24" s="22" t="n">
        <f aca="false">IFERROR(F24*I24/E24,0)</f>
        <v>84.1568627450981</v>
      </c>
      <c r="K24" s="58" t="n">
        <v>0</v>
      </c>
      <c r="L24" s="22" t="n">
        <f aca="false">G24*K24</f>
        <v>0</v>
      </c>
      <c r="M24" s="22" t="n">
        <f aca="false">J24+L24</f>
        <v>84.1568627450981</v>
      </c>
      <c r="N24" s="58" t="n">
        <v>0.2</v>
      </c>
      <c r="O24" s="58" t="n">
        <v>0.2</v>
      </c>
      <c r="P24" s="91" t="n">
        <f aca="false">'Assumptions (Export)'!$B$18</f>
        <v>0.1</v>
      </c>
      <c r="Q24" s="92" t="n">
        <f aca="false">M24+N24+O24+P24</f>
        <v>84.6568627450981</v>
      </c>
      <c r="R24" s="91" t="n">
        <f aca="false">'Assumptions (Export)'!$B$17</f>
        <v>0.1</v>
      </c>
      <c r="S24" s="92" t="n">
        <f aca="false">Q24+R24</f>
        <v>84.7568627450981</v>
      </c>
      <c r="T24" s="93"/>
      <c r="U24" s="94" t="n">
        <f aca="false">S24</f>
        <v>84.7568627450981</v>
      </c>
      <c r="V24" s="94" t="n">
        <f aca="false">IFERROR(S24/(1-'Assumptions (Export)'!$B$26),0)</f>
        <v>141.261437908497</v>
      </c>
      <c r="W24" s="94" t="n">
        <f aca="false">V24+'Assumptions (Export)'!$B$36</f>
        <v>141.711437908497</v>
      </c>
      <c r="X24" s="94" t="n">
        <f aca="false">W24*(1+'Assumptions (Export)'!$B$28)*(1+'Assumptions (Export)'!$B$29)*(1+'Assumptions (Export)'!$B$30)</f>
        <v>188.228217401961</v>
      </c>
      <c r="Y24" s="95" t="n">
        <f aca="false">S24-J24*D24/(1+D24)</f>
        <v>84.7568627450981</v>
      </c>
      <c r="Z24" s="95" t="n">
        <f aca="false">IFERROR(Y24/(1-'Assumptions (Export)'!$B$26),0)</f>
        <v>141.261437908497</v>
      </c>
      <c r="AA24" s="95" t="n">
        <f aca="false">Z24+'Assumptions (Export)'!$B$36</f>
        <v>141.711437908497</v>
      </c>
      <c r="AB24" s="95" t="n">
        <f aca="false">AA24*(1+'Assumptions (Export)'!$B$28)*(1+'Assumptions (Export)'!$B$29)*(1+'Assumptions (Export)'!$B$30)</f>
        <v>188.228217401961</v>
      </c>
      <c r="AC24" s="96" t="n">
        <f aca="false">S24</f>
        <v>84.7568627450981</v>
      </c>
      <c r="AD24" s="96" t="n">
        <f aca="false">IFERROR(S24/(1-'Assumptions (Export)'!$B$26),0)</f>
        <v>141.261437908497</v>
      </c>
      <c r="AE24" s="96" t="n">
        <f aca="false">AD24+'Assumptions (Export)'!$B$37</f>
        <v>144.061437908497</v>
      </c>
      <c r="AF24" s="96" t="n">
        <f aca="false">AE24*(1+'Assumptions (Export)'!$B$28)*(1+'Assumptions (Export)'!$B$29)*(1+'Assumptions (Export)'!$B$30)</f>
        <v>191.349604901961</v>
      </c>
    </row>
    <row r="25" customFormat="false" ht="15" hidden="false" customHeight="true" outlineLevel="0" collapsed="false">
      <c r="A25" s="52" t="s">
        <v>138</v>
      </c>
      <c r="B25" s="21" t="s">
        <v>116</v>
      </c>
      <c r="C25" s="64" t="s">
        <v>133</v>
      </c>
      <c r="D25" s="54" t="n">
        <v>0</v>
      </c>
      <c r="E25" s="54" t="n">
        <v>0.07</v>
      </c>
      <c r="F25" s="54" t="n">
        <v>1</v>
      </c>
      <c r="G25" s="54" t="n">
        <v>0</v>
      </c>
      <c r="H25" s="55" t="n">
        <f aca="false">F25+G25</f>
        <v>1</v>
      </c>
      <c r="I25" s="91" t="n">
        <f aca="false">'Assumptions (Export)'!$B$12</f>
        <v>2.52470588235294</v>
      </c>
      <c r="J25" s="22" t="n">
        <f aca="false">IFERROR(F25*I25/E25,0)</f>
        <v>36.0672268907563</v>
      </c>
      <c r="K25" s="58" t="n">
        <v>0</v>
      </c>
      <c r="L25" s="22" t="n">
        <f aca="false">G25*K25</f>
        <v>0</v>
      </c>
      <c r="M25" s="22" t="n">
        <f aca="false">J25+L25</f>
        <v>36.0672268907563</v>
      </c>
      <c r="N25" s="58" t="n">
        <v>0.2</v>
      </c>
      <c r="O25" s="58" t="n">
        <v>0.2</v>
      </c>
      <c r="P25" s="91" t="n">
        <f aca="false">'Assumptions (Export)'!$B$18</f>
        <v>0.1</v>
      </c>
      <c r="Q25" s="92" t="n">
        <f aca="false">M25+N25+O25+P25</f>
        <v>36.5672268907563</v>
      </c>
      <c r="R25" s="91" t="n">
        <f aca="false">'Assumptions (Export)'!$B$17</f>
        <v>0.1</v>
      </c>
      <c r="S25" s="92" t="n">
        <f aca="false">Q25+R25</f>
        <v>36.6672268907563</v>
      </c>
      <c r="T25" s="93"/>
      <c r="U25" s="94" t="n">
        <f aca="false">S25</f>
        <v>36.6672268907563</v>
      </c>
      <c r="V25" s="94" t="n">
        <f aca="false">IFERROR(S25/(1-'Assumptions (Export)'!$B$26),0)</f>
        <v>61.1120448179272</v>
      </c>
      <c r="W25" s="94" t="n">
        <f aca="false">V25+'Assumptions (Export)'!$B$36</f>
        <v>61.5620448179272</v>
      </c>
      <c r="X25" s="94" t="n">
        <f aca="false">W25*(1+'Assumptions (Export)'!$B$28)*(1+'Assumptions (Export)'!$B$29)*(1+'Assumptions (Export)'!$B$30)</f>
        <v>81.7697860294118</v>
      </c>
      <c r="Y25" s="95" t="n">
        <f aca="false">S25-J25*D25/(1+D25)</f>
        <v>36.6672268907563</v>
      </c>
      <c r="Z25" s="95" t="n">
        <f aca="false">IFERROR(Y25/(1-'Assumptions (Export)'!$B$26),0)</f>
        <v>61.1120448179272</v>
      </c>
      <c r="AA25" s="95" t="n">
        <f aca="false">Z25+'Assumptions (Export)'!$B$36</f>
        <v>61.5620448179272</v>
      </c>
      <c r="AB25" s="95" t="n">
        <f aca="false">AA25*(1+'Assumptions (Export)'!$B$28)*(1+'Assumptions (Export)'!$B$29)*(1+'Assumptions (Export)'!$B$30)</f>
        <v>81.7697860294118</v>
      </c>
      <c r="AC25" s="96" t="n">
        <f aca="false">S25</f>
        <v>36.6672268907563</v>
      </c>
      <c r="AD25" s="96" t="n">
        <f aca="false">IFERROR(S25/(1-'Assumptions (Export)'!$B$26),0)</f>
        <v>61.1120448179272</v>
      </c>
      <c r="AE25" s="96" t="n">
        <f aca="false">AD25+'Assumptions (Export)'!$B$37</f>
        <v>63.9120448179272</v>
      </c>
      <c r="AF25" s="96" t="n">
        <f aca="false">AE25*(1+'Assumptions (Export)'!$B$28)*(1+'Assumptions (Export)'!$B$29)*(1+'Assumptions (Export)'!$B$30)</f>
        <v>84.8911735294118</v>
      </c>
    </row>
    <row r="26" customFormat="false" ht="15" hidden="false" customHeight="true" outlineLevel="0" collapsed="false">
      <c r="A26" s="52" t="s">
        <v>139</v>
      </c>
      <c r="B26" s="21" t="s">
        <v>116</v>
      </c>
      <c r="C26" s="65" t="s">
        <v>140</v>
      </c>
      <c r="D26" s="54" t="n">
        <v>0</v>
      </c>
      <c r="E26" s="54" t="n">
        <v>0.38</v>
      </c>
      <c r="F26" s="54" t="n">
        <v>0.82</v>
      </c>
      <c r="G26" s="54" t="n">
        <v>0.18</v>
      </c>
      <c r="H26" s="55" t="n">
        <f aca="false">F26+G26</f>
        <v>1</v>
      </c>
      <c r="I26" s="91" t="n">
        <f aca="false">'Assumptions (Export)'!$B$12</f>
        <v>2.52470588235294</v>
      </c>
      <c r="J26" s="22" t="n">
        <f aca="false">IFERROR(F26*I26/E26,0)</f>
        <v>5.44804953560372</v>
      </c>
      <c r="K26" s="58" t="n">
        <v>1.8</v>
      </c>
      <c r="L26" s="22" t="n">
        <f aca="false">G26*K26</f>
        <v>0.324</v>
      </c>
      <c r="M26" s="22" t="n">
        <f aca="false">J26+L26</f>
        <v>5.77204953560372</v>
      </c>
      <c r="N26" s="58" t="n">
        <v>1.4</v>
      </c>
      <c r="O26" s="58" t="n">
        <v>0.45</v>
      </c>
      <c r="P26" s="91" t="n">
        <f aca="false">'Assumptions (Export)'!$B$18</f>
        <v>0.1</v>
      </c>
      <c r="Q26" s="92" t="n">
        <f aca="false">M26+N26+O26+P26</f>
        <v>7.72204953560372</v>
      </c>
      <c r="R26" s="91" t="n">
        <f aca="false">'Assumptions (Export)'!$B$17</f>
        <v>0.1</v>
      </c>
      <c r="S26" s="92" t="n">
        <f aca="false">Q26+R26</f>
        <v>7.82204953560372</v>
      </c>
      <c r="T26" s="93"/>
      <c r="U26" s="94" t="n">
        <f aca="false">S26</f>
        <v>7.82204953560372</v>
      </c>
      <c r="V26" s="94" t="n">
        <f aca="false">IFERROR(S26/(1-'Assumptions (Export)'!$B$26),0)</f>
        <v>13.0367492260062</v>
      </c>
      <c r="W26" s="94" t="n">
        <f aca="false">V26+'Assumptions (Export)'!$B$36</f>
        <v>13.4867492260062</v>
      </c>
      <c r="X26" s="94" t="n">
        <f aca="false">W26*(1+'Assumptions (Export)'!$B$28)*(1+'Assumptions (Export)'!$B$29)*(1+'Assumptions (Export)'!$B$30)</f>
        <v>17.9137746594427</v>
      </c>
      <c r="Y26" s="95" t="n">
        <f aca="false">S26-J26*D26/(1+D26)</f>
        <v>7.82204953560372</v>
      </c>
      <c r="Z26" s="95" t="n">
        <f aca="false">IFERROR(Y26/(1-'Assumptions (Export)'!$B$26),0)</f>
        <v>13.0367492260062</v>
      </c>
      <c r="AA26" s="95" t="n">
        <f aca="false">Z26+'Assumptions (Export)'!$B$36</f>
        <v>13.4867492260062</v>
      </c>
      <c r="AB26" s="95" t="n">
        <f aca="false">AA26*(1+'Assumptions (Export)'!$B$28)*(1+'Assumptions (Export)'!$B$29)*(1+'Assumptions (Export)'!$B$30)</f>
        <v>17.9137746594427</v>
      </c>
      <c r="AC26" s="96" t="n">
        <f aca="false">S26</f>
        <v>7.82204953560372</v>
      </c>
      <c r="AD26" s="96" t="n">
        <f aca="false">IFERROR(S26/(1-'Assumptions (Export)'!$B$26),0)</f>
        <v>13.0367492260062</v>
      </c>
      <c r="AE26" s="96" t="n">
        <f aca="false">AD26+'Assumptions (Export)'!$B$37</f>
        <v>15.8367492260062</v>
      </c>
      <c r="AF26" s="96" t="n">
        <f aca="false">AE26*(1+'Assumptions (Export)'!$B$28)*(1+'Assumptions (Export)'!$B$29)*(1+'Assumptions (Export)'!$B$30)</f>
        <v>21.0351621594427</v>
      </c>
    </row>
    <row r="27" customFormat="false" ht="15" hidden="false" customHeight="true" outlineLevel="0" collapsed="false">
      <c r="A27" s="52" t="s">
        <v>141</v>
      </c>
      <c r="B27" s="21" t="s">
        <v>116</v>
      </c>
      <c r="C27" s="65" t="s">
        <v>140</v>
      </c>
      <c r="D27" s="54" t="n">
        <v>0</v>
      </c>
      <c r="E27" s="54" t="n">
        <v>0.38</v>
      </c>
      <c r="F27" s="54" t="n">
        <v>0.82</v>
      </c>
      <c r="G27" s="54" t="n">
        <v>0.18</v>
      </c>
      <c r="H27" s="55" t="n">
        <f aca="false">F27+G27</f>
        <v>1</v>
      </c>
      <c r="I27" s="91" t="n">
        <f aca="false">'Assumptions (Export)'!$B$12</f>
        <v>2.52470588235294</v>
      </c>
      <c r="J27" s="22" t="n">
        <f aca="false">IFERROR(F27*I27/E27,0)</f>
        <v>5.44804953560372</v>
      </c>
      <c r="K27" s="58" t="n">
        <v>1.6</v>
      </c>
      <c r="L27" s="22" t="n">
        <f aca="false">G27*K27</f>
        <v>0.288</v>
      </c>
      <c r="M27" s="22" t="n">
        <f aca="false">J27+L27</f>
        <v>5.73604953560372</v>
      </c>
      <c r="N27" s="58" t="n">
        <v>1.4</v>
      </c>
      <c r="O27" s="58" t="n">
        <v>0.45</v>
      </c>
      <c r="P27" s="91" t="n">
        <f aca="false">'Assumptions (Export)'!$B$18</f>
        <v>0.1</v>
      </c>
      <c r="Q27" s="92" t="n">
        <f aca="false">M27+N27+O27+P27</f>
        <v>7.68604953560372</v>
      </c>
      <c r="R27" s="91" t="n">
        <f aca="false">'Assumptions (Export)'!$B$17</f>
        <v>0.1</v>
      </c>
      <c r="S27" s="92" t="n">
        <f aca="false">Q27+R27</f>
        <v>7.78604953560372</v>
      </c>
      <c r="T27" s="93"/>
      <c r="U27" s="94" t="n">
        <f aca="false">S27</f>
        <v>7.78604953560372</v>
      </c>
      <c r="V27" s="94" t="n">
        <f aca="false">IFERROR(S27/(1-'Assumptions (Export)'!$B$26),0)</f>
        <v>12.9767492260062</v>
      </c>
      <c r="W27" s="94" t="n">
        <f aca="false">V27+'Assumptions (Export)'!$B$36</f>
        <v>13.4267492260062</v>
      </c>
      <c r="X27" s="94" t="n">
        <f aca="false">W27*(1+'Assumptions (Export)'!$B$28)*(1+'Assumptions (Export)'!$B$29)*(1+'Assumptions (Export)'!$B$30)</f>
        <v>17.8340796594427</v>
      </c>
      <c r="Y27" s="95" t="n">
        <f aca="false">S27-J27*D27/(1+D27)</f>
        <v>7.78604953560372</v>
      </c>
      <c r="Z27" s="95" t="n">
        <f aca="false">IFERROR(Y27/(1-'Assumptions (Export)'!$B$26),0)</f>
        <v>12.9767492260062</v>
      </c>
      <c r="AA27" s="95" t="n">
        <f aca="false">Z27+'Assumptions (Export)'!$B$36</f>
        <v>13.4267492260062</v>
      </c>
      <c r="AB27" s="95" t="n">
        <f aca="false">AA27*(1+'Assumptions (Export)'!$B$28)*(1+'Assumptions (Export)'!$B$29)*(1+'Assumptions (Export)'!$B$30)</f>
        <v>17.8340796594427</v>
      </c>
      <c r="AC27" s="96" t="n">
        <f aca="false">S27</f>
        <v>7.78604953560372</v>
      </c>
      <c r="AD27" s="96" t="n">
        <f aca="false">IFERROR(S27/(1-'Assumptions (Export)'!$B$26),0)</f>
        <v>12.9767492260062</v>
      </c>
      <c r="AE27" s="96" t="n">
        <f aca="false">AD27+'Assumptions (Export)'!$B$37</f>
        <v>15.7767492260062</v>
      </c>
      <c r="AF27" s="96" t="n">
        <f aca="false">AE27*(1+'Assumptions (Export)'!$B$28)*(1+'Assumptions (Export)'!$B$29)*(1+'Assumptions (Export)'!$B$30)</f>
        <v>20.9554671594427</v>
      </c>
    </row>
    <row r="28" customFormat="false" ht="15" hidden="false" customHeight="true" outlineLevel="0" collapsed="false">
      <c r="A28" s="52" t="s">
        <v>142</v>
      </c>
      <c r="B28" s="21" t="s">
        <v>116</v>
      </c>
      <c r="C28" s="65" t="s">
        <v>140</v>
      </c>
      <c r="D28" s="54" t="n">
        <v>0</v>
      </c>
      <c r="E28" s="54" t="n">
        <v>0.36</v>
      </c>
      <c r="F28" s="54" t="n">
        <v>0.8</v>
      </c>
      <c r="G28" s="54" t="n">
        <v>0.2</v>
      </c>
      <c r="H28" s="55" t="n">
        <f aca="false">F28+G28</f>
        <v>1</v>
      </c>
      <c r="I28" s="91" t="n">
        <f aca="false">'Assumptions (Export)'!$B$12</f>
        <v>2.52470588235294</v>
      </c>
      <c r="J28" s="22" t="n">
        <f aca="false">IFERROR(F28*I28/E28,0)</f>
        <v>5.61045751633987</v>
      </c>
      <c r="K28" s="58" t="n">
        <v>1.7</v>
      </c>
      <c r="L28" s="22" t="n">
        <f aca="false">G28*K28</f>
        <v>0.34</v>
      </c>
      <c r="M28" s="22" t="n">
        <f aca="false">J28+L28</f>
        <v>5.95045751633987</v>
      </c>
      <c r="N28" s="58" t="n">
        <v>1.3</v>
      </c>
      <c r="O28" s="58" t="n">
        <v>0.45</v>
      </c>
      <c r="P28" s="91" t="n">
        <f aca="false">'Assumptions (Export)'!$B$18</f>
        <v>0.1</v>
      </c>
      <c r="Q28" s="92" t="n">
        <f aca="false">M28+N28+O28+P28</f>
        <v>7.80045751633987</v>
      </c>
      <c r="R28" s="91" t="n">
        <f aca="false">'Assumptions (Export)'!$B$17</f>
        <v>0.1</v>
      </c>
      <c r="S28" s="92" t="n">
        <f aca="false">Q28+R28</f>
        <v>7.90045751633987</v>
      </c>
      <c r="T28" s="93"/>
      <c r="U28" s="94" t="n">
        <f aca="false">S28</f>
        <v>7.90045751633987</v>
      </c>
      <c r="V28" s="94" t="n">
        <f aca="false">IFERROR(S28/(1-'Assumptions (Export)'!$B$26),0)</f>
        <v>13.1674291938998</v>
      </c>
      <c r="W28" s="94" t="n">
        <f aca="false">V28+'Assumptions (Export)'!$B$36</f>
        <v>13.6174291938998</v>
      </c>
      <c r="X28" s="94" t="n">
        <f aca="false">W28*(1+'Assumptions (Export)'!$B$28)*(1+'Assumptions (Export)'!$B$29)*(1+'Assumptions (Export)'!$B$30)</f>
        <v>18.0873503267974</v>
      </c>
      <c r="Y28" s="95" t="n">
        <f aca="false">S28-J28*D28/(1+D28)</f>
        <v>7.90045751633987</v>
      </c>
      <c r="Z28" s="95" t="n">
        <f aca="false">IFERROR(Y28/(1-'Assumptions (Export)'!$B$26),0)</f>
        <v>13.1674291938998</v>
      </c>
      <c r="AA28" s="95" t="n">
        <f aca="false">Z28+'Assumptions (Export)'!$B$36</f>
        <v>13.6174291938998</v>
      </c>
      <c r="AB28" s="95" t="n">
        <f aca="false">AA28*(1+'Assumptions (Export)'!$B$28)*(1+'Assumptions (Export)'!$B$29)*(1+'Assumptions (Export)'!$B$30)</f>
        <v>18.0873503267974</v>
      </c>
      <c r="AC28" s="96" t="n">
        <f aca="false">S28</f>
        <v>7.90045751633987</v>
      </c>
      <c r="AD28" s="96" t="n">
        <f aca="false">IFERROR(S28/(1-'Assumptions (Export)'!$B$26),0)</f>
        <v>13.1674291938998</v>
      </c>
      <c r="AE28" s="96" t="n">
        <f aca="false">AD28+'Assumptions (Export)'!$B$37</f>
        <v>15.9674291938998</v>
      </c>
      <c r="AF28" s="96" t="n">
        <f aca="false">AE28*(1+'Assumptions (Export)'!$B$28)*(1+'Assumptions (Export)'!$B$29)*(1+'Assumptions (Export)'!$B$30)</f>
        <v>21.2087378267974</v>
      </c>
    </row>
    <row r="29" customFormat="false" ht="15" hidden="false" customHeight="true" outlineLevel="0" collapsed="false">
      <c r="A29" s="52" t="s">
        <v>143</v>
      </c>
      <c r="B29" s="21" t="s">
        <v>116</v>
      </c>
      <c r="C29" s="65" t="s">
        <v>140</v>
      </c>
      <c r="D29" s="54" t="n">
        <v>0</v>
      </c>
      <c r="E29" s="54" t="n">
        <v>0.35</v>
      </c>
      <c r="F29" s="54" t="n">
        <v>0.78</v>
      </c>
      <c r="G29" s="54" t="n">
        <v>0.22</v>
      </c>
      <c r="H29" s="55" t="n">
        <f aca="false">F29+G29</f>
        <v>1</v>
      </c>
      <c r="I29" s="91" t="n">
        <f aca="false">'Assumptions (Export)'!$B$12</f>
        <v>2.52470588235294</v>
      </c>
      <c r="J29" s="22" t="n">
        <f aca="false">IFERROR(F29*I29/E29,0)</f>
        <v>5.62648739495798</v>
      </c>
      <c r="K29" s="58" t="n">
        <v>1.5</v>
      </c>
      <c r="L29" s="22" t="n">
        <f aca="false">G29*K29</f>
        <v>0.33</v>
      </c>
      <c r="M29" s="22" t="n">
        <f aca="false">J29+L29</f>
        <v>5.95648739495799</v>
      </c>
      <c r="N29" s="58" t="n">
        <v>1.35</v>
      </c>
      <c r="O29" s="58" t="n">
        <v>0.45</v>
      </c>
      <c r="P29" s="91" t="n">
        <f aca="false">'Assumptions (Export)'!$B$18</f>
        <v>0.1</v>
      </c>
      <c r="Q29" s="92" t="n">
        <f aca="false">M29+N29+O29+P29</f>
        <v>7.85648739495799</v>
      </c>
      <c r="R29" s="91" t="n">
        <f aca="false">'Assumptions (Export)'!$B$17</f>
        <v>0.1</v>
      </c>
      <c r="S29" s="92" t="n">
        <f aca="false">Q29+R29</f>
        <v>7.95648739495799</v>
      </c>
      <c r="T29" s="93"/>
      <c r="U29" s="94" t="n">
        <f aca="false">S29</f>
        <v>7.95648739495799</v>
      </c>
      <c r="V29" s="94" t="n">
        <f aca="false">IFERROR(S29/(1-'Assumptions (Export)'!$B$26),0)</f>
        <v>13.26081232493</v>
      </c>
      <c r="W29" s="94" t="n">
        <f aca="false">V29+'Assumptions (Export)'!$B$36</f>
        <v>13.71081232493</v>
      </c>
      <c r="X29" s="94" t="n">
        <f aca="false">W29*(1+'Assumptions (Export)'!$B$28)*(1+'Assumptions (Export)'!$B$29)*(1+'Assumptions (Export)'!$B$30)</f>
        <v>18.2113864705882</v>
      </c>
      <c r="Y29" s="95" t="n">
        <f aca="false">S29-J29*D29/(1+D29)</f>
        <v>7.95648739495799</v>
      </c>
      <c r="Z29" s="95" t="n">
        <f aca="false">IFERROR(Y29/(1-'Assumptions (Export)'!$B$26),0)</f>
        <v>13.26081232493</v>
      </c>
      <c r="AA29" s="95" t="n">
        <f aca="false">Z29+'Assumptions (Export)'!$B$36</f>
        <v>13.71081232493</v>
      </c>
      <c r="AB29" s="95" t="n">
        <f aca="false">AA29*(1+'Assumptions (Export)'!$B$28)*(1+'Assumptions (Export)'!$B$29)*(1+'Assumptions (Export)'!$B$30)</f>
        <v>18.2113864705882</v>
      </c>
      <c r="AC29" s="96" t="n">
        <f aca="false">S29</f>
        <v>7.95648739495799</v>
      </c>
      <c r="AD29" s="96" t="n">
        <f aca="false">IFERROR(S29/(1-'Assumptions (Export)'!$B$26),0)</f>
        <v>13.26081232493</v>
      </c>
      <c r="AE29" s="96" t="n">
        <f aca="false">AD29+'Assumptions (Export)'!$B$37</f>
        <v>16.06081232493</v>
      </c>
      <c r="AF29" s="96" t="n">
        <f aca="false">AE29*(1+'Assumptions (Export)'!$B$28)*(1+'Assumptions (Export)'!$B$29)*(1+'Assumptions (Export)'!$B$30)</f>
        <v>21.3327739705882</v>
      </c>
    </row>
    <row r="30" customFormat="false" ht="15" hidden="false" customHeight="true" outlineLevel="0" collapsed="false">
      <c r="A30" s="52" t="s">
        <v>144</v>
      </c>
      <c r="B30" s="21" t="s">
        <v>116</v>
      </c>
      <c r="C30" s="65" t="s">
        <v>140</v>
      </c>
      <c r="D30" s="54" t="n">
        <v>0</v>
      </c>
      <c r="E30" s="54" t="n">
        <v>0.36</v>
      </c>
      <c r="F30" s="54" t="n">
        <v>0.78</v>
      </c>
      <c r="G30" s="54" t="n">
        <v>0.22</v>
      </c>
      <c r="H30" s="55" t="n">
        <f aca="false">F30+G30</f>
        <v>1</v>
      </c>
      <c r="I30" s="91" t="n">
        <f aca="false">'Assumptions (Export)'!$B$12</f>
        <v>2.52470588235294</v>
      </c>
      <c r="J30" s="22" t="n">
        <f aca="false">IFERROR(F30*I30/E30,0)</f>
        <v>5.47019607843137</v>
      </c>
      <c r="K30" s="58" t="n">
        <v>2.2</v>
      </c>
      <c r="L30" s="22" t="n">
        <f aca="false">G30*K30</f>
        <v>0.484</v>
      </c>
      <c r="M30" s="22" t="n">
        <f aca="false">J30+L30</f>
        <v>5.95419607843137</v>
      </c>
      <c r="N30" s="58" t="n">
        <v>1.45</v>
      </c>
      <c r="O30" s="58" t="n">
        <v>0.5</v>
      </c>
      <c r="P30" s="91" t="n">
        <f aca="false">'Assumptions (Export)'!$B$18</f>
        <v>0.1</v>
      </c>
      <c r="Q30" s="92" t="n">
        <f aca="false">M30+N30+O30+P30</f>
        <v>8.00419607843137</v>
      </c>
      <c r="R30" s="91" t="n">
        <f aca="false">'Assumptions (Export)'!$B$17</f>
        <v>0.1</v>
      </c>
      <c r="S30" s="92" t="n">
        <f aca="false">Q30+R30</f>
        <v>8.10419607843137</v>
      </c>
      <c r="T30" s="93"/>
      <c r="U30" s="94" t="n">
        <f aca="false">S30</f>
        <v>8.10419607843137</v>
      </c>
      <c r="V30" s="94" t="n">
        <f aca="false">IFERROR(S30/(1-'Assumptions (Export)'!$B$26),0)</f>
        <v>13.5069934640523</v>
      </c>
      <c r="W30" s="94" t="n">
        <f aca="false">V30+'Assumptions (Export)'!$B$36</f>
        <v>13.9569934640523</v>
      </c>
      <c r="X30" s="94" t="n">
        <f aca="false">W30*(1+'Assumptions (Export)'!$B$28)*(1+'Assumptions (Export)'!$B$29)*(1+'Assumptions (Export)'!$B$30)</f>
        <v>18.5383765686275</v>
      </c>
      <c r="Y30" s="95" t="n">
        <f aca="false">S30-J30*D30/(1+D30)</f>
        <v>8.10419607843137</v>
      </c>
      <c r="Z30" s="95" t="n">
        <f aca="false">IFERROR(Y30/(1-'Assumptions (Export)'!$B$26),0)</f>
        <v>13.5069934640523</v>
      </c>
      <c r="AA30" s="95" t="n">
        <f aca="false">Z30+'Assumptions (Export)'!$B$36</f>
        <v>13.9569934640523</v>
      </c>
      <c r="AB30" s="95" t="n">
        <f aca="false">AA30*(1+'Assumptions (Export)'!$B$28)*(1+'Assumptions (Export)'!$B$29)*(1+'Assumptions (Export)'!$B$30)</f>
        <v>18.5383765686275</v>
      </c>
      <c r="AC30" s="96" t="n">
        <f aca="false">S30</f>
        <v>8.10419607843137</v>
      </c>
      <c r="AD30" s="96" t="n">
        <f aca="false">IFERROR(S30/(1-'Assumptions (Export)'!$B$26),0)</f>
        <v>13.5069934640523</v>
      </c>
      <c r="AE30" s="96" t="n">
        <f aca="false">AD30+'Assumptions (Export)'!$B$37</f>
        <v>16.3069934640523</v>
      </c>
      <c r="AF30" s="96" t="n">
        <f aca="false">AE30*(1+'Assumptions (Export)'!$B$28)*(1+'Assumptions (Export)'!$B$29)*(1+'Assumptions (Export)'!$B$30)</f>
        <v>21.6597640686275</v>
      </c>
    </row>
    <row r="31" customFormat="false" ht="15" hidden="false" customHeight="true" outlineLevel="0" collapsed="false">
      <c r="A31" s="52" t="s">
        <v>145</v>
      </c>
      <c r="B31" s="21" t="s">
        <v>116</v>
      </c>
      <c r="C31" s="65" t="s">
        <v>140</v>
      </c>
      <c r="D31" s="54" t="n">
        <v>0</v>
      </c>
      <c r="E31" s="54" t="n">
        <v>0.45</v>
      </c>
      <c r="F31" s="54" t="n">
        <v>0.85</v>
      </c>
      <c r="G31" s="54" t="n">
        <v>0.15</v>
      </c>
      <c r="H31" s="55" t="n">
        <f aca="false">F31+G31</f>
        <v>1</v>
      </c>
      <c r="I31" s="91" t="n">
        <f aca="false">'Assumptions (Export)'!$B$12</f>
        <v>2.52470588235294</v>
      </c>
      <c r="J31" s="22" t="n">
        <f aca="false">IFERROR(F31*I31/E31,0)</f>
        <v>4.76888888888889</v>
      </c>
      <c r="K31" s="58" t="n">
        <v>1.9</v>
      </c>
      <c r="L31" s="22" t="n">
        <f aca="false">G31*K31</f>
        <v>0.285</v>
      </c>
      <c r="M31" s="22" t="n">
        <f aca="false">J31+L31</f>
        <v>5.05388888888889</v>
      </c>
      <c r="N31" s="58" t="n">
        <v>1.2</v>
      </c>
      <c r="O31" s="58" t="n">
        <v>0.45</v>
      </c>
      <c r="P31" s="91" t="n">
        <f aca="false">'Assumptions (Export)'!$B$18</f>
        <v>0.1</v>
      </c>
      <c r="Q31" s="92" t="n">
        <f aca="false">M31+N31+O31+P31</f>
        <v>6.80388888888889</v>
      </c>
      <c r="R31" s="91" t="n">
        <f aca="false">'Assumptions (Export)'!$B$17</f>
        <v>0.1</v>
      </c>
      <c r="S31" s="92" t="n">
        <f aca="false">Q31+R31</f>
        <v>6.90388888888889</v>
      </c>
      <c r="T31" s="93"/>
      <c r="U31" s="94" t="n">
        <f aca="false">S31</f>
        <v>6.90388888888889</v>
      </c>
      <c r="V31" s="94" t="n">
        <f aca="false">IFERROR(S31/(1-'Assumptions (Export)'!$B$26),0)</f>
        <v>11.5064814814815</v>
      </c>
      <c r="W31" s="94" t="n">
        <f aca="false">V31+'Assumptions (Export)'!$B$36</f>
        <v>11.9564814814815</v>
      </c>
      <c r="X31" s="94" t="n">
        <f aca="false">W31*(1+'Assumptions (Export)'!$B$28)*(1+'Assumptions (Export)'!$B$29)*(1+'Assumptions (Export)'!$B$30)</f>
        <v>15.8811965277778</v>
      </c>
      <c r="Y31" s="95" t="n">
        <f aca="false">S31-J31*D31/(1+D31)</f>
        <v>6.90388888888889</v>
      </c>
      <c r="Z31" s="95" t="n">
        <f aca="false">IFERROR(Y31/(1-'Assumptions (Export)'!$B$26),0)</f>
        <v>11.5064814814815</v>
      </c>
      <c r="AA31" s="95" t="n">
        <f aca="false">Z31+'Assumptions (Export)'!$B$36</f>
        <v>11.9564814814815</v>
      </c>
      <c r="AB31" s="95" t="n">
        <f aca="false">AA31*(1+'Assumptions (Export)'!$B$28)*(1+'Assumptions (Export)'!$B$29)*(1+'Assumptions (Export)'!$B$30)</f>
        <v>15.8811965277778</v>
      </c>
      <c r="AC31" s="96" t="n">
        <f aca="false">S31</f>
        <v>6.90388888888889</v>
      </c>
      <c r="AD31" s="96" t="n">
        <f aca="false">IFERROR(S31/(1-'Assumptions (Export)'!$B$26),0)</f>
        <v>11.5064814814815</v>
      </c>
      <c r="AE31" s="96" t="n">
        <f aca="false">AD31+'Assumptions (Export)'!$B$37</f>
        <v>14.3064814814815</v>
      </c>
      <c r="AF31" s="96" t="n">
        <f aca="false">AE31*(1+'Assumptions (Export)'!$B$28)*(1+'Assumptions (Export)'!$B$29)*(1+'Assumptions (Export)'!$B$30)</f>
        <v>19.0025840277778</v>
      </c>
    </row>
    <row r="32" customFormat="false" ht="15" hidden="false" customHeight="true" outlineLevel="0" collapsed="false">
      <c r="A32" s="52" t="s">
        <v>146</v>
      </c>
      <c r="B32" s="21" t="s">
        <v>116</v>
      </c>
      <c r="C32" s="65" t="s">
        <v>140</v>
      </c>
      <c r="D32" s="54" t="n">
        <v>0</v>
      </c>
      <c r="E32" s="54" t="n">
        <v>0.38</v>
      </c>
      <c r="F32" s="54" t="n">
        <v>0.7</v>
      </c>
      <c r="G32" s="54" t="n">
        <v>0.3</v>
      </c>
      <c r="H32" s="55" t="n">
        <f aca="false">F32+G32</f>
        <v>1</v>
      </c>
      <c r="I32" s="91" t="n">
        <f aca="false">'Assumptions (Export)'!$B$12</f>
        <v>2.52470588235294</v>
      </c>
      <c r="J32" s="22" t="n">
        <f aca="false">IFERROR(F32*I32/E32,0)</f>
        <v>4.65077399380805</v>
      </c>
      <c r="K32" s="58" t="n">
        <v>1.2</v>
      </c>
      <c r="L32" s="22" t="n">
        <f aca="false">G32*K32</f>
        <v>0.36</v>
      </c>
      <c r="M32" s="22" t="n">
        <f aca="false">J32+L32</f>
        <v>5.01077399380805</v>
      </c>
      <c r="N32" s="58" t="n">
        <v>1.6</v>
      </c>
      <c r="O32" s="58" t="n">
        <v>0.5</v>
      </c>
      <c r="P32" s="91" t="n">
        <f aca="false">'Assumptions (Export)'!$B$18</f>
        <v>0.1</v>
      </c>
      <c r="Q32" s="92" t="n">
        <f aca="false">M32+N32+O32+P32</f>
        <v>7.21077399380805</v>
      </c>
      <c r="R32" s="91" t="n">
        <f aca="false">'Assumptions (Export)'!$B$17</f>
        <v>0.1</v>
      </c>
      <c r="S32" s="92" t="n">
        <f aca="false">Q32+R32</f>
        <v>7.31077399380805</v>
      </c>
      <c r="T32" s="93"/>
      <c r="U32" s="94" t="n">
        <f aca="false">S32</f>
        <v>7.31077399380805</v>
      </c>
      <c r="V32" s="94" t="n">
        <f aca="false">IFERROR(S32/(1-'Assumptions (Export)'!$B$26),0)</f>
        <v>12.1846233230134</v>
      </c>
      <c r="W32" s="94" t="n">
        <f aca="false">V32+'Assumptions (Export)'!$B$36</f>
        <v>12.6346233230134</v>
      </c>
      <c r="X32" s="94" t="n">
        <f aca="false">W32*(1+'Assumptions (Export)'!$B$28)*(1+'Assumptions (Export)'!$B$29)*(1+'Assumptions (Export)'!$B$30)</f>
        <v>16.7819384287926</v>
      </c>
      <c r="Y32" s="95" t="n">
        <f aca="false">S32-J32*D32/(1+D32)</f>
        <v>7.31077399380805</v>
      </c>
      <c r="Z32" s="95" t="n">
        <f aca="false">IFERROR(Y32/(1-'Assumptions (Export)'!$B$26),0)</f>
        <v>12.1846233230134</v>
      </c>
      <c r="AA32" s="95" t="n">
        <f aca="false">Z32+'Assumptions (Export)'!$B$36</f>
        <v>12.6346233230134</v>
      </c>
      <c r="AB32" s="95" t="n">
        <f aca="false">AA32*(1+'Assumptions (Export)'!$B$28)*(1+'Assumptions (Export)'!$B$29)*(1+'Assumptions (Export)'!$B$30)</f>
        <v>16.7819384287926</v>
      </c>
      <c r="AC32" s="96" t="n">
        <f aca="false">S32</f>
        <v>7.31077399380805</v>
      </c>
      <c r="AD32" s="96" t="n">
        <f aca="false">IFERROR(S32/(1-'Assumptions (Export)'!$B$26),0)</f>
        <v>12.1846233230134</v>
      </c>
      <c r="AE32" s="96" t="n">
        <f aca="false">AD32+'Assumptions (Export)'!$B$37</f>
        <v>14.9846233230134</v>
      </c>
      <c r="AF32" s="96" t="n">
        <f aca="false">AE32*(1+'Assumptions (Export)'!$B$28)*(1+'Assumptions (Export)'!$B$29)*(1+'Assumptions (Export)'!$B$30)</f>
        <v>19.9033259287926</v>
      </c>
    </row>
    <row r="33" customFormat="false" ht="15" hidden="false" customHeight="true" outlineLevel="0" collapsed="false">
      <c r="A33" s="52" t="s">
        <v>147</v>
      </c>
      <c r="B33" s="21" t="s">
        <v>116</v>
      </c>
      <c r="C33" s="65" t="s">
        <v>140</v>
      </c>
      <c r="D33" s="54" t="n">
        <v>0</v>
      </c>
      <c r="E33" s="54" t="n">
        <v>0.35</v>
      </c>
      <c r="F33" s="54" t="n">
        <v>0.65</v>
      </c>
      <c r="G33" s="54" t="n">
        <v>0.35</v>
      </c>
      <c r="H33" s="55" t="n">
        <f aca="false">F33+G33</f>
        <v>1</v>
      </c>
      <c r="I33" s="91" t="n">
        <f aca="false">'Assumptions (Export)'!$B$12</f>
        <v>2.52470588235294</v>
      </c>
      <c r="J33" s="22" t="n">
        <f aca="false">IFERROR(F33*I33/E33,0)</f>
        <v>4.68873949579832</v>
      </c>
      <c r="K33" s="58" t="n">
        <v>1</v>
      </c>
      <c r="L33" s="22" t="n">
        <f aca="false">G33*K33</f>
        <v>0.35</v>
      </c>
      <c r="M33" s="22" t="n">
        <f aca="false">J33+L33</f>
        <v>5.03873949579832</v>
      </c>
      <c r="N33" s="58" t="n">
        <v>1.7</v>
      </c>
      <c r="O33" s="58" t="n">
        <v>0.5</v>
      </c>
      <c r="P33" s="91" t="n">
        <f aca="false">'Assumptions (Export)'!$B$18</f>
        <v>0.1</v>
      </c>
      <c r="Q33" s="92" t="n">
        <f aca="false">M33+N33+O33+P33</f>
        <v>7.33873949579832</v>
      </c>
      <c r="R33" s="91" t="n">
        <f aca="false">'Assumptions (Export)'!$B$17</f>
        <v>0.1</v>
      </c>
      <c r="S33" s="92" t="n">
        <f aca="false">Q33+R33</f>
        <v>7.43873949579832</v>
      </c>
      <c r="T33" s="93"/>
      <c r="U33" s="94" t="n">
        <f aca="false">S33</f>
        <v>7.43873949579832</v>
      </c>
      <c r="V33" s="94" t="n">
        <f aca="false">IFERROR(S33/(1-'Assumptions (Export)'!$B$26),0)</f>
        <v>12.3978991596639</v>
      </c>
      <c r="W33" s="94" t="n">
        <f aca="false">V33+'Assumptions (Export)'!$B$36</f>
        <v>12.8478991596639</v>
      </c>
      <c r="X33" s="94" t="n">
        <f aca="false">W33*(1+'Assumptions (Export)'!$B$28)*(1+'Assumptions (Export)'!$B$29)*(1+'Assumptions (Export)'!$B$30)</f>
        <v>17.0652220588235</v>
      </c>
      <c r="Y33" s="95" t="n">
        <f aca="false">S33-J33*D33/(1+D33)</f>
        <v>7.43873949579832</v>
      </c>
      <c r="Z33" s="95" t="n">
        <f aca="false">IFERROR(Y33/(1-'Assumptions (Export)'!$B$26),0)</f>
        <v>12.3978991596639</v>
      </c>
      <c r="AA33" s="95" t="n">
        <f aca="false">Z33+'Assumptions (Export)'!$B$36</f>
        <v>12.8478991596639</v>
      </c>
      <c r="AB33" s="95" t="n">
        <f aca="false">AA33*(1+'Assumptions (Export)'!$B$28)*(1+'Assumptions (Export)'!$B$29)*(1+'Assumptions (Export)'!$B$30)</f>
        <v>17.0652220588235</v>
      </c>
      <c r="AC33" s="96" t="n">
        <f aca="false">S33</f>
        <v>7.43873949579832</v>
      </c>
      <c r="AD33" s="96" t="n">
        <f aca="false">IFERROR(S33/(1-'Assumptions (Export)'!$B$26),0)</f>
        <v>12.3978991596639</v>
      </c>
      <c r="AE33" s="96" t="n">
        <f aca="false">AD33+'Assumptions (Export)'!$B$37</f>
        <v>15.1978991596639</v>
      </c>
      <c r="AF33" s="96" t="n">
        <f aca="false">AE33*(1+'Assumptions (Export)'!$B$28)*(1+'Assumptions (Export)'!$B$29)*(1+'Assumptions (Export)'!$B$30)</f>
        <v>20.1866095588235</v>
      </c>
    </row>
    <row r="34" customFormat="false" ht="15" hidden="false" customHeight="true" outlineLevel="0" collapsed="false">
      <c r="A34" s="52" t="s">
        <v>148</v>
      </c>
      <c r="B34" s="21" t="s">
        <v>116</v>
      </c>
      <c r="C34" s="65" t="s">
        <v>140</v>
      </c>
      <c r="D34" s="54" t="n">
        <v>0</v>
      </c>
      <c r="E34" s="54" t="n">
        <v>0.3</v>
      </c>
      <c r="F34" s="54" t="n">
        <v>0.6</v>
      </c>
      <c r="G34" s="54" t="n">
        <v>0.4</v>
      </c>
      <c r="H34" s="55" t="n">
        <f aca="false">F34+G34</f>
        <v>1</v>
      </c>
      <c r="I34" s="91" t="n">
        <f aca="false">'Assumptions (Export)'!$B$12</f>
        <v>2.52470588235294</v>
      </c>
      <c r="J34" s="22" t="n">
        <f aca="false">IFERROR(F34*I34/E34,0)</f>
        <v>5.04941176470588</v>
      </c>
      <c r="K34" s="58" t="n">
        <v>0.9</v>
      </c>
      <c r="L34" s="22" t="n">
        <f aca="false">G34*K34</f>
        <v>0.36</v>
      </c>
      <c r="M34" s="22" t="n">
        <f aca="false">J34+L34</f>
        <v>5.40941176470588</v>
      </c>
      <c r="N34" s="58" t="n">
        <v>1.8</v>
      </c>
      <c r="O34" s="58" t="n">
        <v>0.55</v>
      </c>
      <c r="P34" s="91" t="n">
        <f aca="false">'Assumptions (Export)'!$B$18</f>
        <v>0.1</v>
      </c>
      <c r="Q34" s="92" t="n">
        <f aca="false">M34+N34+O34+P34</f>
        <v>7.85941176470588</v>
      </c>
      <c r="R34" s="91" t="n">
        <f aca="false">'Assumptions (Export)'!$B$17</f>
        <v>0.1</v>
      </c>
      <c r="S34" s="92" t="n">
        <f aca="false">Q34+R34</f>
        <v>7.95941176470588</v>
      </c>
      <c r="T34" s="93"/>
      <c r="U34" s="94" t="n">
        <f aca="false">S34</f>
        <v>7.95941176470588</v>
      </c>
      <c r="V34" s="94" t="n">
        <f aca="false">IFERROR(S34/(1-'Assumptions (Export)'!$B$26),0)</f>
        <v>13.2656862745098</v>
      </c>
      <c r="W34" s="94" t="n">
        <f aca="false">V34+'Assumptions (Export)'!$B$36</f>
        <v>13.7156862745098</v>
      </c>
      <c r="X34" s="94" t="n">
        <f aca="false">W34*(1+'Assumptions (Export)'!$B$28)*(1+'Assumptions (Export)'!$B$29)*(1+'Assumptions (Export)'!$B$30)</f>
        <v>18.2178602941176</v>
      </c>
      <c r="Y34" s="95" t="n">
        <f aca="false">S34-J34*D34/(1+D34)</f>
        <v>7.95941176470588</v>
      </c>
      <c r="Z34" s="95" t="n">
        <f aca="false">IFERROR(Y34/(1-'Assumptions (Export)'!$B$26),0)</f>
        <v>13.2656862745098</v>
      </c>
      <c r="AA34" s="95" t="n">
        <f aca="false">Z34+'Assumptions (Export)'!$B$36</f>
        <v>13.7156862745098</v>
      </c>
      <c r="AB34" s="95" t="n">
        <f aca="false">AA34*(1+'Assumptions (Export)'!$B$28)*(1+'Assumptions (Export)'!$B$29)*(1+'Assumptions (Export)'!$B$30)</f>
        <v>18.2178602941176</v>
      </c>
      <c r="AC34" s="96" t="n">
        <f aca="false">S34</f>
        <v>7.95941176470588</v>
      </c>
      <c r="AD34" s="96" t="n">
        <f aca="false">IFERROR(S34/(1-'Assumptions (Export)'!$B$26),0)</f>
        <v>13.2656862745098</v>
      </c>
      <c r="AE34" s="96" t="n">
        <f aca="false">AD34+'Assumptions (Export)'!$B$37</f>
        <v>16.0656862745098</v>
      </c>
      <c r="AF34" s="96" t="n">
        <f aca="false">AE34*(1+'Assumptions (Export)'!$B$28)*(1+'Assumptions (Export)'!$B$29)*(1+'Assumptions (Export)'!$B$30)</f>
        <v>21.3392477941177</v>
      </c>
    </row>
    <row r="35" customFormat="false" ht="15" hidden="false" customHeight="true" outlineLevel="0" collapsed="false">
      <c r="A35" s="52" t="s">
        <v>149</v>
      </c>
      <c r="B35" s="21" t="s">
        <v>116</v>
      </c>
      <c r="C35" s="65" t="s">
        <v>140</v>
      </c>
      <c r="D35" s="54" t="n">
        <v>0</v>
      </c>
      <c r="E35" s="54" t="n">
        <v>0.3</v>
      </c>
      <c r="F35" s="54" t="n">
        <v>0.62</v>
      </c>
      <c r="G35" s="54" t="n">
        <v>0.38</v>
      </c>
      <c r="H35" s="55" t="n">
        <f aca="false">F35+G35</f>
        <v>1</v>
      </c>
      <c r="I35" s="91" t="n">
        <f aca="false">'Assumptions (Export)'!$B$12</f>
        <v>2.52470588235294</v>
      </c>
      <c r="J35" s="22" t="n">
        <f aca="false">IFERROR(F35*I35/E35,0)</f>
        <v>5.21772549019608</v>
      </c>
      <c r="K35" s="58" t="n">
        <v>0.95</v>
      </c>
      <c r="L35" s="22" t="n">
        <f aca="false">G35*K35</f>
        <v>0.361</v>
      </c>
      <c r="M35" s="22" t="n">
        <f aca="false">J35+L35</f>
        <v>5.57872549019608</v>
      </c>
      <c r="N35" s="58" t="n">
        <v>1.75</v>
      </c>
      <c r="O35" s="58" t="n">
        <v>0.55</v>
      </c>
      <c r="P35" s="91" t="n">
        <f aca="false">'Assumptions (Export)'!$B$18</f>
        <v>0.1</v>
      </c>
      <c r="Q35" s="92" t="n">
        <f aca="false">M35+N35+O35+P35</f>
        <v>7.97872549019608</v>
      </c>
      <c r="R35" s="91" t="n">
        <f aca="false">'Assumptions (Export)'!$B$17</f>
        <v>0.1</v>
      </c>
      <c r="S35" s="92" t="n">
        <f aca="false">Q35+R35</f>
        <v>8.07872549019608</v>
      </c>
      <c r="T35" s="93"/>
      <c r="U35" s="94" t="n">
        <f aca="false">S35</f>
        <v>8.07872549019608</v>
      </c>
      <c r="V35" s="94" t="n">
        <f aca="false">IFERROR(S35/(1-'Assumptions (Export)'!$B$26),0)</f>
        <v>13.4645424836601</v>
      </c>
      <c r="W35" s="94" t="n">
        <f aca="false">V35+'Assumptions (Export)'!$B$36</f>
        <v>13.9145424836601</v>
      </c>
      <c r="X35" s="94" t="n">
        <f aca="false">W35*(1+'Assumptions (Export)'!$B$28)*(1+'Assumptions (Export)'!$B$29)*(1+'Assumptions (Export)'!$B$30)</f>
        <v>18.4819910539216</v>
      </c>
      <c r="Y35" s="95" t="n">
        <f aca="false">S35-J35*D35/(1+D35)</f>
        <v>8.07872549019608</v>
      </c>
      <c r="Z35" s="95" t="n">
        <f aca="false">IFERROR(Y35/(1-'Assumptions (Export)'!$B$26),0)</f>
        <v>13.4645424836601</v>
      </c>
      <c r="AA35" s="95" t="n">
        <f aca="false">Z35+'Assumptions (Export)'!$B$36</f>
        <v>13.9145424836601</v>
      </c>
      <c r="AB35" s="95" t="n">
        <f aca="false">AA35*(1+'Assumptions (Export)'!$B$28)*(1+'Assumptions (Export)'!$B$29)*(1+'Assumptions (Export)'!$B$30)</f>
        <v>18.4819910539216</v>
      </c>
      <c r="AC35" s="96" t="n">
        <f aca="false">S35</f>
        <v>8.07872549019608</v>
      </c>
      <c r="AD35" s="96" t="n">
        <f aca="false">IFERROR(S35/(1-'Assumptions (Export)'!$B$26),0)</f>
        <v>13.4645424836601</v>
      </c>
      <c r="AE35" s="96" t="n">
        <f aca="false">AD35+'Assumptions (Export)'!$B$37</f>
        <v>16.2645424836601</v>
      </c>
      <c r="AF35" s="96" t="n">
        <f aca="false">AE35*(1+'Assumptions (Export)'!$B$28)*(1+'Assumptions (Export)'!$B$29)*(1+'Assumptions (Export)'!$B$30)</f>
        <v>21.6033785539216</v>
      </c>
    </row>
    <row r="36" customFormat="false" ht="15" hidden="false" customHeight="true" outlineLevel="0" collapsed="false">
      <c r="A36" s="52" t="s">
        <v>150</v>
      </c>
      <c r="B36" s="21" t="s">
        <v>116</v>
      </c>
      <c r="C36" s="65" t="s">
        <v>140</v>
      </c>
      <c r="D36" s="54" t="n">
        <v>0</v>
      </c>
      <c r="E36" s="54" t="n">
        <v>0.3</v>
      </c>
      <c r="F36" s="54" t="n">
        <v>0.68</v>
      </c>
      <c r="G36" s="54" t="n">
        <v>0.32</v>
      </c>
      <c r="H36" s="55" t="n">
        <f aca="false">F36+G36</f>
        <v>1</v>
      </c>
      <c r="I36" s="91" t="n">
        <f aca="false">'Assumptions (Export)'!$B$12</f>
        <v>2.52470588235294</v>
      </c>
      <c r="J36" s="22" t="n">
        <f aca="false">IFERROR(F36*I36/E36,0)</f>
        <v>5.72266666666667</v>
      </c>
      <c r="K36" s="58" t="n">
        <v>1.1</v>
      </c>
      <c r="L36" s="22" t="n">
        <f aca="false">G36*K36</f>
        <v>0.352</v>
      </c>
      <c r="M36" s="22" t="n">
        <f aca="false">J36+L36</f>
        <v>6.07466666666667</v>
      </c>
      <c r="N36" s="58" t="n">
        <v>1.7</v>
      </c>
      <c r="O36" s="58" t="n">
        <v>0.55</v>
      </c>
      <c r="P36" s="91" t="n">
        <f aca="false">'Assumptions (Export)'!$B$18</f>
        <v>0.1</v>
      </c>
      <c r="Q36" s="92" t="n">
        <f aca="false">M36+N36+O36+P36</f>
        <v>8.42466666666667</v>
      </c>
      <c r="R36" s="91" t="n">
        <f aca="false">'Assumptions (Export)'!$B$17</f>
        <v>0.1</v>
      </c>
      <c r="S36" s="92" t="n">
        <f aca="false">Q36+R36</f>
        <v>8.52466666666667</v>
      </c>
      <c r="T36" s="93"/>
      <c r="U36" s="94" t="n">
        <f aca="false">S36</f>
        <v>8.52466666666667</v>
      </c>
      <c r="V36" s="94" t="n">
        <f aca="false">IFERROR(S36/(1-'Assumptions (Export)'!$B$26),0)</f>
        <v>14.2077777777778</v>
      </c>
      <c r="W36" s="94" t="n">
        <f aca="false">V36+'Assumptions (Export)'!$B$36</f>
        <v>14.6577777777778</v>
      </c>
      <c r="X36" s="94" t="n">
        <f aca="false">W36*(1+'Assumptions (Export)'!$B$28)*(1+'Assumptions (Export)'!$B$29)*(1+'Assumptions (Export)'!$B$30)</f>
        <v>19.4691933333333</v>
      </c>
      <c r="Y36" s="95" t="n">
        <f aca="false">S36-J36*D36/(1+D36)</f>
        <v>8.52466666666667</v>
      </c>
      <c r="Z36" s="95" t="n">
        <f aca="false">IFERROR(Y36/(1-'Assumptions (Export)'!$B$26),0)</f>
        <v>14.2077777777778</v>
      </c>
      <c r="AA36" s="95" t="n">
        <f aca="false">Z36+'Assumptions (Export)'!$B$36</f>
        <v>14.6577777777778</v>
      </c>
      <c r="AB36" s="95" t="n">
        <f aca="false">AA36*(1+'Assumptions (Export)'!$B$28)*(1+'Assumptions (Export)'!$B$29)*(1+'Assumptions (Export)'!$B$30)</f>
        <v>19.4691933333333</v>
      </c>
      <c r="AC36" s="96" t="n">
        <f aca="false">S36</f>
        <v>8.52466666666667</v>
      </c>
      <c r="AD36" s="96" t="n">
        <f aca="false">IFERROR(S36/(1-'Assumptions (Export)'!$B$26),0)</f>
        <v>14.2077777777778</v>
      </c>
      <c r="AE36" s="96" t="n">
        <f aca="false">AD36+'Assumptions (Export)'!$B$37</f>
        <v>17.0077777777778</v>
      </c>
      <c r="AF36" s="96" t="n">
        <f aca="false">AE36*(1+'Assumptions (Export)'!$B$28)*(1+'Assumptions (Export)'!$B$29)*(1+'Assumptions (Export)'!$B$30)</f>
        <v>22.5905808333333</v>
      </c>
    </row>
    <row r="37" customFormat="false" ht="15" hidden="false" customHeight="true" outlineLevel="0" collapsed="false">
      <c r="A37" s="52" t="s">
        <v>151</v>
      </c>
      <c r="B37" s="21" t="s">
        <v>116</v>
      </c>
      <c r="C37" s="65" t="s">
        <v>140</v>
      </c>
      <c r="D37" s="54" t="n">
        <v>0</v>
      </c>
      <c r="E37" s="54" t="n">
        <v>0.38</v>
      </c>
      <c r="F37" s="54" t="n">
        <v>0.95</v>
      </c>
      <c r="G37" s="54" t="n">
        <v>0.05</v>
      </c>
      <c r="H37" s="55" t="n">
        <f aca="false">F37+G37</f>
        <v>1</v>
      </c>
      <c r="I37" s="91" t="n">
        <f aca="false">'Assumptions (Export)'!$B$12</f>
        <v>2.52470588235294</v>
      </c>
      <c r="J37" s="22" t="n">
        <f aca="false">IFERROR(F37*I37/E37,0)</f>
        <v>6.31176470588235</v>
      </c>
      <c r="K37" s="58" t="n">
        <v>1.5</v>
      </c>
      <c r="L37" s="22" t="n">
        <f aca="false">G37*K37</f>
        <v>0.075</v>
      </c>
      <c r="M37" s="22" t="n">
        <f aca="false">J37+L37</f>
        <v>6.38676470588235</v>
      </c>
      <c r="N37" s="58" t="n">
        <v>2.2</v>
      </c>
      <c r="O37" s="58" t="n">
        <v>0.6</v>
      </c>
      <c r="P37" s="91" t="n">
        <f aca="false">'Assumptions (Export)'!$B$18</f>
        <v>0.1</v>
      </c>
      <c r="Q37" s="92" t="n">
        <f aca="false">M37+N37+O37+P37</f>
        <v>9.28676470588235</v>
      </c>
      <c r="R37" s="91" t="n">
        <f aca="false">'Assumptions (Export)'!$B$17</f>
        <v>0.1</v>
      </c>
      <c r="S37" s="92" t="n">
        <f aca="false">Q37+R37</f>
        <v>9.38676470588235</v>
      </c>
      <c r="T37" s="93"/>
      <c r="U37" s="94" t="n">
        <f aca="false">S37</f>
        <v>9.38676470588235</v>
      </c>
      <c r="V37" s="94" t="n">
        <f aca="false">IFERROR(S37/(1-'Assumptions (Export)'!$B$26),0)</f>
        <v>15.6446078431373</v>
      </c>
      <c r="W37" s="94" t="n">
        <f aca="false">V37+'Assumptions (Export)'!$B$36</f>
        <v>16.0946078431373</v>
      </c>
      <c r="X37" s="94" t="n">
        <f aca="false">W37*(1+'Assumptions (Export)'!$B$28)*(1+'Assumptions (Export)'!$B$29)*(1+'Assumptions (Export)'!$B$30)</f>
        <v>21.3776628676471</v>
      </c>
      <c r="Y37" s="95" t="n">
        <f aca="false">S37-J37*D37/(1+D37)</f>
        <v>9.38676470588235</v>
      </c>
      <c r="Z37" s="95" t="n">
        <f aca="false">IFERROR(Y37/(1-'Assumptions (Export)'!$B$26),0)</f>
        <v>15.6446078431373</v>
      </c>
      <c r="AA37" s="95" t="n">
        <f aca="false">Z37+'Assumptions (Export)'!$B$36</f>
        <v>16.0946078431373</v>
      </c>
      <c r="AB37" s="95" t="n">
        <f aca="false">AA37*(1+'Assumptions (Export)'!$B$28)*(1+'Assumptions (Export)'!$B$29)*(1+'Assumptions (Export)'!$B$30)</f>
        <v>21.3776628676471</v>
      </c>
      <c r="AC37" s="96" t="n">
        <f aca="false">S37</f>
        <v>9.38676470588235</v>
      </c>
      <c r="AD37" s="96" t="n">
        <f aca="false">IFERROR(S37/(1-'Assumptions (Export)'!$B$26),0)</f>
        <v>15.6446078431373</v>
      </c>
      <c r="AE37" s="96" t="n">
        <f aca="false">AD37+'Assumptions (Export)'!$B$37</f>
        <v>18.4446078431373</v>
      </c>
      <c r="AF37" s="96" t="n">
        <f aca="false">AE37*(1+'Assumptions (Export)'!$B$28)*(1+'Assumptions (Export)'!$B$29)*(1+'Assumptions (Export)'!$B$30)</f>
        <v>24.4990503676471</v>
      </c>
    </row>
    <row r="38" customFormat="false" ht="15" hidden="false" customHeight="true" outlineLevel="0" collapsed="false"/>
    <row r="39" customFormat="false" ht="15" hidden="false" customHeight="true" outlineLevel="0" collapsed="false">
      <c r="A39" s="31" t="s">
        <v>233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customFormat="false" ht="15" hidden="false" customHeight="true" outlineLevel="0" collapsed="false"/>
  </sheetData>
  <autoFilter ref="A3:AF37"/>
  <mergeCells count="4">
    <mergeCell ref="U2:X2"/>
    <mergeCell ref="Y2:AB2"/>
    <mergeCell ref="AC2:AF2"/>
    <mergeCell ref="A39:AF39"/>
  </mergeCells>
  <conditionalFormatting sqref="H4:H37">
    <cfRule type="cellIs" priority="2" operator="notEqual" aboveAverage="0" equalAverage="0" bottom="0" percent="0" rank="0" text="" dxfId="16">
      <formula>1</formula>
    </cfRule>
  </conditionalFormatting>
  <conditionalFormatting sqref="A4:Y37">
    <cfRule type="expression" priority="3" aboveAverage="0" equalAverage="0" bottom="0" percent="0" rank="0" text="" dxfId="17">
      <formula>$B4="Inactive"</formula>
    </cfRule>
  </conditionalFormatting>
  <dataValidations count="1">
    <dataValidation allowBlank="false" errorStyle="stop" operator="between" showDropDown="false" showErrorMessage="false" showInputMessage="false" sqref="B4:B37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AJ2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2" ySplit="1" topLeftCell="L2" activePane="bottomRight" state="frozen"/>
      <selection pane="topLeft" activeCell="B1" activeCellId="0" sqref="B1"/>
      <selection pane="topRight" activeCell="L1" activeCellId="0" sqref="L1"/>
      <selection pane="bottomLeft" activeCell="B2" activeCellId="0" sqref="B2"/>
      <selection pane="bottomRight" activeCell="L11" activeCellId="0" sqref="L11"/>
    </sheetView>
  </sheetViews>
  <sheetFormatPr defaultColWidth="8.8046875" defaultRowHeight="14.25" zeroHeight="false" outlineLevelRow="0" outlineLevelCol="0"/>
  <cols>
    <col collapsed="false" customWidth="true" hidden="true" outlineLevel="0" max="1" min="1" style="97" width="11.53"/>
    <col collapsed="false" customWidth="true" hidden="false" outlineLevel="0" max="2" min="2" style="97" width="1.47"/>
    <col collapsed="false" customWidth="true" hidden="false" outlineLevel="0" max="3" min="3" style="97" width="12.47"/>
    <col collapsed="false" customWidth="true" hidden="false" outlineLevel="0" max="6" min="4" style="97" width="10.53"/>
    <col collapsed="false" customWidth="true" hidden="false" outlineLevel="0" max="7" min="7" style="98" width="10.53"/>
    <col collapsed="false" customWidth="true" hidden="false" outlineLevel="0" max="9" min="8" style="97" width="13.06"/>
    <col collapsed="false" customWidth="true" hidden="false" outlineLevel="0" max="10" min="10" style="97" width="12.06"/>
    <col collapsed="false" customWidth="true" hidden="false" outlineLevel="0" max="11" min="11" style="97" width="10.53"/>
    <col collapsed="false" customWidth="true" hidden="false" outlineLevel="0" max="13" min="12" style="97" width="12"/>
    <col collapsed="false" customWidth="true" hidden="false" outlineLevel="0" max="14" min="14" style="97" width="11.47"/>
    <col collapsed="false" customWidth="true" hidden="false" outlineLevel="0" max="15" min="15" style="97" width="12.06"/>
    <col collapsed="false" customWidth="true" hidden="false" outlineLevel="0" max="25" min="16" style="97" width="12"/>
    <col collapsed="false" customWidth="false" hidden="false" outlineLevel="0" max="16384" min="26" style="97" width="8.8"/>
  </cols>
  <sheetData>
    <row r="1" customFormat="false" ht="99.75" hidden="false" customHeight="true" outlineLevel="0" collapsed="false">
      <c r="C1" s="99" t="s">
        <v>234</v>
      </c>
      <c r="D1" s="100" t="s">
        <v>235</v>
      </c>
      <c r="E1" s="100" t="s">
        <v>236</v>
      </c>
      <c r="F1" s="100" t="s">
        <v>237</v>
      </c>
      <c r="G1" s="101" t="s">
        <v>238</v>
      </c>
      <c r="H1" s="102" t="s">
        <v>239</v>
      </c>
      <c r="I1" s="102" t="s">
        <v>240</v>
      </c>
      <c r="J1" s="102" t="s">
        <v>241</v>
      </c>
      <c r="K1" s="102" t="s">
        <v>242</v>
      </c>
      <c r="L1" s="102" t="s">
        <v>243</v>
      </c>
      <c r="M1" s="102" t="s">
        <v>244</v>
      </c>
      <c r="N1" s="102" t="s">
        <v>245</v>
      </c>
      <c r="O1" s="103" t="s">
        <v>246</v>
      </c>
      <c r="P1" s="103" t="s">
        <v>247</v>
      </c>
      <c r="Q1" s="103" t="s">
        <v>248</v>
      </c>
      <c r="R1" s="103" t="s">
        <v>249</v>
      </c>
      <c r="S1" s="103" t="s">
        <v>250</v>
      </c>
      <c r="T1" s="103" t="s">
        <v>251</v>
      </c>
      <c r="U1" s="103" t="s">
        <v>252</v>
      </c>
      <c r="V1" s="103" t="s">
        <v>253</v>
      </c>
      <c r="W1" s="103" t="s">
        <v>254</v>
      </c>
      <c r="X1" s="103" t="s">
        <v>255</v>
      </c>
      <c r="Y1" s="103" t="s">
        <v>256</v>
      </c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</row>
    <row r="2" s="105" customFormat="true" ht="14.25" hidden="false" customHeight="true" outlineLevel="0" collapsed="false">
      <c r="C2" s="106" t="s">
        <v>119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  <c r="P2" s="109"/>
      <c r="Q2" s="110" t="n">
        <v>0.38</v>
      </c>
      <c r="R2" s="111" t="n">
        <v>0.38</v>
      </c>
      <c r="S2" s="112"/>
      <c r="T2" s="112"/>
      <c r="U2" s="112"/>
      <c r="V2" s="112"/>
      <c r="W2" s="112"/>
      <c r="X2" s="112"/>
      <c r="Y2" s="112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</row>
    <row r="3" s="105" customFormat="true" ht="14.25" hidden="false" customHeight="true" outlineLevel="0" collapsed="false">
      <c r="C3" s="106" t="s">
        <v>257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8"/>
      <c r="P3" s="109"/>
      <c r="Q3" s="110" t="n">
        <v>0.39</v>
      </c>
      <c r="R3" s="111" t="n">
        <v>0.39</v>
      </c>
      <c r="S3" s="112"/>
      <c r="T3" s="112"/>
      <c r="U3" s="112"/>
      <c r="V3" s="112"/>
      <c r="W3" s="112"/>
      <c r="X3" s="111" t="n">
        <f aca="false">1*0.46*1.2</f>
        <v>0.552</v>
      </c>
      <c r="Y3" s="111" t="n">
        <f aca="false">1*0.46*1.2</f>
        <v>0.552</v>
      </c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customFormat="false" ht="14.25" hidden="false" customHeight="true" outlineLevel="0" collapsed="false">
      <c r="A4" s="97" t="n">
        <v>700</v>
      </c>
      <c r="C4" s="114" t="s">
        <v>258</v>
      </c>
      <c r="D4" s="115"/>
      <c r="E4" s="115"/>
      <c r="F4" s="115"/>
      <c r="G4" s="116"/>
      <c r="H4" s="117" t="n">
        <v>0.4</v>
      </c>
      <c r="I4" s="117" t="n">
        <v>0.44</v>
      </c>
      <c r="J4" s="117" t="n">
        <f aca="false">I4-1%</f>
        <v>0.43</v>
      </c>
      <c r="K4" s="117" t="n">
        <v>0.7</v>
      </c>
      <c r="L4" s="117" t="n">
        <v>0.52</v>
      </c>
      <c r="M4" s="118"/>
      <c r="N4" s="117" t="n">
        <v>0.88</v>
      </c>
      <c r="O4" s="119" t="n">
        <v>0.98</v>
      </c>
      <c r="P4" s="112"/>
      <c r="Q4" s="111" t="n">
        <v>0.4</v>
      </c>
      <c r="R4" s="111" t="n">
        <v>0.4</v>
      </c>
      <c r="S4" s="112"/>
      <c r="T4" s="112"/>
      <c r="U4" s="112"/>
      <c r="V4" s="112"/>
      <c r="W4" s="112"/>
      <c r="X4" s="111" t="n">
        <f aca="false">1*0.46*1.2</f>
        <v>0.552</v>
      </c>
      <c r="Y4" s="111" t="n">
        <f aca="false">1*0.46*1.2</f>
        <v>0.552</v>
      </c>
    </row>
    <row r="5" customFormat="false" ht="14.25" hidden="false" customHeight="true" outlineLevel="0" collapsed="false">
      <c r="A5" s="97" t="n">
        <v>800</v>
      </c>
      <c r="C5" s="120" t="s">
        <v>259</v>
      </c>
      <c r="D5" s="121"/>
      <c r="E5" s="121"/>
      <c r="F5" s="121"/>
      <c r="G5" s="122"/>
      <c r="H5" s="123" t="n">
        <v>0.41</v>
      </c>
      <c r="I5" s="123" t="n">
        <v>0.45</v>
      </c>
      <c r="J5" s="117" t="n">
        <f aca="false">I5-1%</f>
        <v>0.44</v>
      </c>
      <c r="K5" s="117" t="n">
        <v>0.7</v>
      </c>
      <c r="L5" s="117" t="n">
        <v>0.52</v>
      </c>
      <c r="M5" s="124"/>
      <c r="N5" s="117" t="n">
        <v>0.88</v>
      </c>
      <c r="O5" s="119" t="n">
        <v>0.98</v>
      </c>
      <c r="P5" s="111" t="n">
        <v>0.45</v>
      </c>
      <c r="Q5" s="111" t="n">
        <v>0.4</v>
      </c>
      <c r="R5" s="111" t="n">
        <v>0.4</v>
      </c>
      <c r="S5" s="112"/>
      <c r="T5" s="112"/>
      <c r="U5" s="111" t="n">
        <v>0.47</v>
      </c>
      <c r="V5" s="112"/>
      <c r="W5" s="111" t="n">
        <v>0.44</v>
      </c>
      <c r="X5" s="112"/>
      <c r="Y5" s="112"/>
    </row>
    <row r="6" customFormat="false" ht="14.25" hidden="false" customHeight="true" outlineLevel="0" collapsed="false">
      <c r="A6" s="97" t="n">
        <v>900</v>
      </c>
      <c r="C6" s="120" t="s">
        <v>260</v>
      </c>
      <c r="D6" s="121"/>
      <c r="E6" s="121"/>
      <c r="F6" s="121"/>
      <c r="G6" s="122"/>
      <c r="H6" s="123" t="n">
        <v>0.41</v>
      </c>
      <c r="I6" s="123" t="n">
        <v>0.45</v>
      </c>
      <c r="J6" s="117" t="n">
        <f aca="false">I6-1%</f>
        <v>0.44</v>
      </c>
      <c r="K6" s="117" t="n">
        <v>0.7</v>
      </c>
      <c r="L6" s="117" t="n">
        <v>0.52</v>
      </c>
      <c r="M6" s="124"/>
      <c r="N6" s="117" t="n">
        <v>0.88</v>
      </c>
      <c r="O6" s="119" t="n">
        <v>0.98</v>
      </c>
      <c r="P6" s="111" t="n">
        <v>0.46</v>
      </c>
      <c r="Q6" s="111" t="n">
        <v>0.41</v>
      </c>
      <c r="R6" s="111" t="n">
        <v>0.41</v>
      </c>
      <c r="S6" s="112"/>
      <c r="T6" s="112"/>
      <c r="U6" s="111" t="n">
        <v>0.47</v>
      </c>
      <c r="V6" s="112"/>
      <c r="W6" s="111" t="n">
        <v>0.44</v>
      </c>
      <c r="X6" s="112"/>
      <c r="Y6" s="112"/>
    </row>
    <row r="7" customFormat="false" ht="14.25" hidden="false" customHeight="true" outlineLevel="0" collapsed="false">
      <c r="A7" s="97" t="n">
        <v>1000</v>
      </c>
      <c r="C7" s="120" t="s">
        <v>261</v>
      </c>
      <c r="D7" s="121"/>
      <c r="E7" s="121"/>
      <c r="F7" s="121"/>
      <c r="G7" s="122"/>
      <c r="H7" s="123" t="n">
        <v>0.42</v>
      </c>
      <c r="I7" s="123" t="n">
        <v>0.46</v>
      </c>
      <c r="J7" s="117" t="n">
        <f aca="false">I7-1%</f>
        <v>0.45</v>
      </c>
      <c r="K7" s="117" t="n">
        <v>0.7</v>
      </c>
      <c r="L7" s="117" t="n">
        <v>0.52</v>
      </c>
      <c r="M7" s="124"/>
      <c r="N7" s="117" t="n">
        <v>0.88</v>
      </c>
      <c r="O7" s="119" t="n">
        <v>0.98</v>
      </c>
      <c r="P7" s="111" t="n">
        <v>0.47</v>
      </c>
      <c r="Q7" s="111" t="n">
        <v>0.42</v>
      </c>
      <c r="R7" s="111" t="n">
        <v>0.42</v>
      </c>
      <c r="S7" s="112"/>
      <c r="T7" s="112"/>
      <c r="U7" s="111" t="n">
        <v>0.48</v>
      </c>
      <c r="V7" s="112"/>
      <c r="W7" s="111" t="n">
        <v>0.44</v>
      </c>
      <c r="X7" s="112"/>
      <c r="Y7" s="112"/>
    </row>
    <row r="8" customFormat="false" ht="14.25" hidden="false" customHeight="true" outlineLevel="0" collapsed="false">
      <c r="A8" s="97" t="n">
        <v>1100</v>
      </c>
      <c r="C8" s="120" t="s">
        <v>262</v>
      </c>
      <c r="D8" s="121"/>
      <c r="E8" s="121"/>
      <c r="F8" s="121"/>
      <c r="G8" s="122"/>
      <c r="H8" s="123" t="n">
        <v>0.42</v>
      </c>
      <c r="I8" s="123" t="n">
        <v>0.46</v>
      </c>
      <c r="J8" s="117" t="n">
        <f aca="false">I8-1%</f>
        <v>0.45</v>
      </c>
      <c r="K8" s="117" t="n">
        <v>0.7</v>
      </c>
      <c r="L8" s="123" t="n">
        <v>0.53</v>
      </c>
      <c r="M8" s="124"/>
      <c r="N8" s="117" t="n">
        <v>0.88</v>
      </c>
      <c r="O8" s="119" t="n">
        <v>0.98</v>
      </c>
      <c r="P8" s="111" t="n">
        <v>0.48</v>
      </c>
      <c r="Q8" s="111" t="n">
        <v>0.42</v>
      </c>
      <c r="R8" s="112"/>
      <c r="S8" s="111" t="n">
        <v>0.42</v>
      </c>
      <c r="T8" s="112"/>
      <c r="U8" s="111" t="n">
        <v>0.48</v>
      </c>
      <c r="V8" s="112"/>
      <c r="W8" s="111" t="n">
        <v>0.47</v>
      </c>
      <c r="X8" s="112"/>
      <c r="Y8" s="112"/>
    </row>
    <row r="9" customFormat="false" ht="14.25" hidden="false" customHeight="true" outlineLevel="0" collapsed="false">
      <c r="A9" s="97" t="n">
        <v>1200</v>
      </c>
      <c r="C9" s="120" t="s">
        <v>263</v>
      </c>
      <c r="D9" s="121"/>
      <c r="E9" s="121"/>
      <c r="F9" s="121"/>
      <c r="G9" s="122"/>
      <c r="H9" s="123" t="n">
        <v>0.43</v>
      </c>
      <c r="I9" s="123" t="n">
        <v>0.48</v>
      </c>
      <c r="J9" s="117" t="n">
        <f aca="false">I9-1%</f>
        <v>0.47</v>
      </c>
      <c r="K9" s="117" t="n">
        <v>0.7</v>
      </c>
      <c r="L9" s="123" t="n">
        <v>0.53</v>
      </c>
      <c r="M9" s="117" t="n">
        <v>0.43</v>
      </c>
      <c r="N9" s="117" t="n">
        <v>0.88</v>
      </c>
      <c r="O9" s="119" t="n">
        <v>0.98</v>
      </c>
      <c r="P9" s="111" t="n">
        <v>0.48</v>
      </c>
      <c r="Q9" s="111" t="n">
        <v>0.42</v>
      </c>
      <c r="R9" s="112"/>
      <c r="S9" s="111" t="n">
        <v>0.42</v>
      </c>
      <c r="T9" s="112"/>
      <c r="U9" s="111" t="n">
        <v>0.48</v>
      </c>
      <c r="V9" s="112"/>
      <c r="W9" s="111" t="n">
        <v>0.48</v>
      </c>
      <c r="X9" s="112"/>
      <c r="Y9" s="112"/>
    </row>
    <row r="10" customFormat="false" ht="14.25" hidden="false" customHeight="true" outlineLevel="0" collapsed="false">
      <c r="A10" s="97" t="n">
        <v>1300</v>
      </c>
      <c r="C10" s="120" t="s">
        <v>264</v>
      </c>
      <c r="D10" s="121"/>
      <c r="E10" s="121"/>
      <c r="F10" s="121"/>
      <c r="G10" s="122"/>
      <c r="H10" s="123" t="n">
        <v>0.43</v>
      </c>
      <c r="I10" s="123" t="n">
        <v>0.48</v>
      </c>
      <c r="J10" s="117" t="n">
        <f aca="false">I10-1%</f>
        <v>0.47</v>
      </c>
      <c r="K10" s="117" t="n">
        <v>0.7</v>
      </c>
      <c r="L10" s="123" t="n">
        <v>0.53</v>
      </c>
      <c r="M10" s="117" t="n">
        <v>0.43</v>
      </c>
      <c r="N10" s="117" t="n">
        <v>0.88</v>
      </c>
      <c r="O10" s="119" t="n">
        <v>0.98</v>
      </c>
      <c r="P10" s="111" t="n">
        <v>0.48</v>
      </c>
      <c r="Q10" s="111" t="n">
        <v>0.42</v>
      </c>
      <c r="R10" s="112"/>
      <c r="S10" s="111" t="n">
        <v>0.42</v>
      </c>
      <c r="T10" s="112"/>
      <c r="U10" s="111" t="n">
        <v>0.48</v>
      </c>
      <c r="V10" s="112"/>
      <c r="W10" s="111" t="n">
        <v>4.88</v>
      </c>
      <c r="X10" s="112"/>
      <c r="Y10" s="112"/>
    </row>
    <row r="11" customFormat="false" ht="14.25" hidden="false" customHeight="true" outlineLevel="0" collapsed="false">
      <c r="A11" s="97" t="n">
        <v>1400</v>
      </c>
      <c r="C11" s="120" t="s">
        <v>265</v>
      </c>
      <c r="D11" s="121"/>
      <c r="E11" s="121"/>
      <c r="F11" s="121"/>
      <c r="G11" s="122"/>
      <c r="H11" s="123" t="n">
        <v>0.43</v>
      </c>
      <c r="I11" s="123" t="n">
        <v>0.48</v>
      </c>
      <c r="J11" s="117" t="n">
        <f aca="false">I11-1%</f>
        <v>0.47</v>
      </c>
      <c r="K11" s="117" t="n">
        <v>0.7</v>
      </c>
      <c r="L11" s="123" t="n">
        <v>0.53</v>
      </c>
      <c r="M11" s="117" t="n">
        <v>0.43</v>
      </c>
      <c r="N11" s="117" t="n">
        <v>0.88</v>
      </c>
      <c r="O11" s="119" t="n">
        <v>0.98</v>
      </c>
      <c r="P11" s="111" t="n">
        <v>0.49</v>
      </c>
      <c r="Q11" s="111" t="n">
        <v>0.42</v>
      </c>
      <c r="R11" s="112"/>
      <c r="S11" s="111" t="n">
        <v>0.42</v>
      </c>
      <c r="T11" s="112"/>
      <c r="U11" s="112"/>
      <c r="V11" s="111" t="n">
        <v>0.48</v>
      </c>
      <c r="W11" s="111" t="n">
        <v>0.48</v>
      </c>
      <c r="X11" s="112"/>
      <c r="Y11" s="112"/>
    </row>
    <row r="12" customFormat="false" ht="14.25" hidden="false" customHeight="true" outlineLevel="0" collapsed="false">
      <c r="A12" s="97" t="n">
        <v>1500</v>
      </c>
      <c r="C12" s="120" t="s">
        <v>266</v>
      </c>
      <c r="D12" s="121"/>
      <c r="E12" s="121"/>
      <c r="F12" s="121"/>
      <c r="G12" s="122"/>
      <c r="H12" s="123" t="n">
        <v>0.43</v>
      </c>
      <c r="I12" s="123" t="n">
        <v>0.48</v>
      </c>
      <c r="J12" s="117" t="n">
        <f aca="false">I12-1%</f>
        <v>0.47</v>
      </c>
      <c r="K12" s="117" t="n">
        <v>0.7</v>
      </c>
      <c r="L12" s="123" t="n">
        <v>0.53</v>
      </c>
      <c r="M12" s="117" t="n">
        <v>0.44</v>
      </c>
      <c r="N12" s="117" t="n">
        <v>0.88</v>
      </c>
      <c r="O12" s="119" t="n">
        <v>0.98</v>
      </c>
      <c r="P12" s="111" t="n">
        <v>0.49</v>
      </c>
      <c r="Q12" s="111" t="n">
        <v>0.42</v>
      </c>
      <c r="R12" s="112"/>
      <c r="S12" s="112"/>
      <c r="T12" s="111" t="n">
        <v>0.42</v>
      </c>
      <c r="U12" s="112"/>
      <c r="V12" s="111" t="n">
        <v>0.48</v>
      </c>
      <c r="W12" s="111" t="n">
        <v>0.48</v>
      </c>
      <c r="X12" s="112"/>
      <c r="Y12" s="112"/>
    </row>
    <row r="13" customFormat="false" ht="14.25" hidden="false" customHeight="true" outlineLevel="0" collapsed="false">
      <c r="A13" s="97" t="n">
        <v>1600</v>
      </c>
      <c r="C13" s="120" t="s">
        <v>267</v>
      </c>
      <c r="D13" s="121"/>
      <c r="E13" s="121"/>
      <c r="F13" s="121"/>
      <c r="G13" s="122"/>
      <c r="H13" s="123" t="n">
        <v>0.44</v>
      </c>
      <c r="I13" s="123" t="n">
        <v>0.49</v>
      </c>
      <c r="J13" s="117" t="n">
        <f aca="false">I13-1%</f>
        <v>0.48</v>
      </c>
      <c r="K13" s="117" t="n">
        <v>0.7</v>
      </c>
      <c r="L13" s="123" t="n">
        <v>0.53</v>
      </c>
      <c r="M13" s="117" t="n">
        <v>0.44</v>
      </c>
      <c r="N13" s="117" t="n">
        <v>0.88</v>
      </c>
      <c r="O13" s="119" t="n">
        <v>0.98</v>
      </c>
      <c r="P13" s="112"/>
      <c r="Q13" s="111" t="n">
        <v>0.43</v>
      </c>
      <c r="R13" s="112"/>
      <c r="S13" s="112"/>
      <c r="T13" s="111" t="n">
        <v>0.43</v>
      </c>
      <c r="U13" s="112"/>
      <c r="V13" s="111" t="n">
        <v>0.49</v>
      </c>
      <c r="W13" s="111" t="n">
        <v>0.49</v>
      </c>
      <c r="X13" s="112"/>
      <c r="Y13" s="112"/>
    </row>
    <row r="14" customFormat="false" ht="14.25" hidden="false" customHeight="true" outlineLevel="0" collapsed="false">
      <c r="A14" s="97" t="n">
        <v>1700</v>
      </c>
      <c r="C14" s="120" t="s">
        <v>268</v>
      </c>
      <c r="D14" s="121"/>
      <c r="E14" s="121"/>
      <c r="F14" s="121"/>
      <c r="G14" s="122"/>
      <c r="H14" s="123" t="n">
        <v>0.44</v>
      </c>
      <c r="I14" s="123" t="n">
        <v>0.49</v>
      </c>
      <c r="J14" s="117" t="n">
        <f aca="false">I14-1%</f>
        <v>0.48</v>
      </c>
      <c r="K14" s="117" t="n">
        <v>0.7</v>
      </c>
      <c r="L14" s="123" t="n">
        <v>0.53</v>
      </c>
      <c r="M14" s="117" t="n">
        <v>0.44</v>
      </c>
      <c r="N14" s="117" t="n">
        <v>0.88</v>
      </c>
      <c r="O14" s="119" t="n">
        <v>0.98</v>
      </c>
      <c r="P14" s="112"/>
      <c r="Q14" s="110" t="n">
        <v>0.43</v>
      </c>
      <c r="R14" s="112"/>
      <c r="S14" s="112"/>
      <c r="T14" s="111" t="n">
        <v>0.43</v>
      </c>
      <c r="U14" s="112"/>
      <c r="V14" s="111" t="n">
        <v>0.49</v>
      </c>
      <c r="W14" s="111" t="n">
        <v>0.49</v>
      </c>
      <c r="X14" s="112"/>
      <c r="Y14" s="112"/>
    </row>
    <row r="15" customFormat="false" ht="14.25" hidden="false" customHeight="true" outlineLevel="0" collapsed="false">
      <c r="A15" s="97" t="n">
        <v>1800</v>
      </c>
      <c r="C15" s="120" t="s">
        <v>269</v>
      </c>
      <c r="D15" s="121"/>
      <c r="E15" s="121"/>
      <c r="F15" s="121"/>
      <c r="G15" s="122"/>
      <c r="H15" s="123" t="n">
        <v>0.44</v>
      </c>
      <c r="I15" s="123" t="n">
        <v>0.49</v>
      </c>
      <c r="J15" s="117" t="n">
        <f aca="false">I15-1%</f>
        <v>0.48</v>
      </c>
      <c r="K15" s="117" t="n">
        <v>0.7</v>
      </c>
      <c r="L15" s="123" t="n">
        <v>0.53</v>
      </c>
      <c r="M15" s="117" t="n">
        <v>0.44</v>
      </c>
      <c r="N15" s="117" t="n">
        <v>0.88</v>
      </c>
      <c r="O15" s="119" t="n">
        <v>0.98</v>
      </c>
      <c r="P15" s="112"/>
      <c r="Q15" s="110" t="n">
        <v>0.44</v>
      </c>
      <c r="R15" s="112"/>
      <c r="S15" s="112"/>
      <c r="T15" s="111" t="n">
        <v>0.44</v>
      </c>
      <c r="U15" s="112"/>
      <c r="V15" s="111" t="n">
        <v>0.49</v>
      </c>
      <c r="W15" s="111" t="n">
        <v>0.49</v>
      </c>
      <c r="X15" s="112"/>
      <c r="Y15" s="112"/>
    </row>
    <row r="16" customFormat="false" ht="14.25" hidden="false" customHeight="true" outlineLevel="0" collapsed="false">
      <c r="A16" s="97" t="n">
        <v>1900</v>
      </c>
      <c r="C16" s="120" t="s">
        <v>270</v>
      </c>
      <c r="D16" s="121"/>
      <c r="E16" s="121"/>
      <c r="F16" s="121"/>
      <c r="G16" s="122"/>
      <c r="H16" s="123" t="n">
        <v>0.44</v>
      </c>
      <c r="I16" s="123" t="n">
        <v>0.49</v>
      </c>
      <c r="J16" s="117" t="n">
        <f aca="false">I16-1%</f>
        <v>0.48</v>
      </c>
      <c r="K16" s="117" t="n">
        <v>0.7</v>
      </c>
      <c r="L16" s="123" t="n">
        <v>0.53</v>
      </c>
      <c r="M16" s="117" t="n">
        <v>0.44</v>
      </c>
      <c r="N16" s="117" t="n">
        <v>0.88</v>
      </c>
      <c r="O16" s="119" t="n">
        <v>0.98</v>
      </c>
      <c r="P16" s="112"/>
      <c r="Q16" s="110" t="n">
        <v>0.44</v>
      </c>
      <c r="R16" s="112"/>
      <c r="S16" s="112"/>
      <c r="T16" s="111" t="n">
        <v>0.44</v>
      </c>
      <c r="U16" s="112"/>
      <c r="V16" s="111" t="n">
        <v>0.5</v>
      </c>
      <c r="W16" s="111" t="n">
        <v>0.5</v>
      </c>
      <c r="X16" s="112"/>
      <c r="Y16" s="112"/>
    </row>
    <row r="17" customFormat="false" ht="14.25" hidden="false" customHeight="true" outlineLevel="0" collapsed="false">
      <c r="C17" s="125" t="s">
        <v>271</v>
      </c>
      <c r="D17" s="126" t="n">
        <v>0.36</v>
      </c>
      <c r="E17" s="126" t="n">
        <v>0.08</v>
      </c>
      <c r="F17" s="126" t="n">
        <v>0</v>
      </c>
      <c r="G17" s="127" t="n">
        <f aca="false">SUM(D17:F17)</f>
        <v>0.44</v>
      </c>
      <c r="H17" s="126" t="n">
        <v>0.45</v>
      </c>
      <c r="I17" s="126" t="n">
        <v>0.5</v>
      </c>
      <c r="J17" s="117" t="n">
        <f aca="false">I17-1%</f>
        <v>0.49</v>
      </c>
      <c r="K17" s="117" t="n">
        <v>0.7</v>
      </c>
      <c r="L17" s="126" t="n">
        <v>0.54</v>
      </c>
      <c r="M17" s="117" t="n">
        <v>0.45</v>
      </c>
      <c r="N17" s="117" t="n">
        <v>0.88</v>
      </c>
      <c r="O17" s="119" t="n">
        <v>0.98</v>
      </c>
      <c r="P17" s="112"/>
      <c r="Q17" s="110" t="n">
        <v>0.45</v>
      </c>
      <c r="R17" s="112"/>
      <c r="S17" s="112"/>
      <c r="T17" s="111" t="n">
        <v>0.45</v>
      </c>
      <c r="U17" s="112"/>
      <c r="V17" s="112"/>
      <c r="W17" s="111" t="n">
        <v>0.5</v>
      </c>
      <c r="X17" s="112"/>
      <c r="Y17" s="112"/>
    </row>
    <row r="18" customFormat="false" ht="14.25" hidden="false" customHeight="true" outlineLevel="0" collapsed="false">
      <c r="C18" s="125" t="s">
        <v>272</v>
      </c>
      <c r="D18" s="126" t="n">
        <v>0.34</v>
      </c>
      <c r="E18" s="126" t="n">
        <v>0.09</v>
      </c>
      <c r="F18" s="126" t="n">
        <v>0</v>
      </c>
      <c r="G18" s="127" t="n">
        <f aca="false">SUM(D18:F18)</f>
        <v>0.43</v>
      </c>
      <c r="H18" s="126" t="n">
        <v>0.45</v>
      </c>
      <c r="I18" s="126" t="n">
        <v>0.5</v>
      </c>
      <c r="J18" s="117" t="n">
        <f aca="false">I18-1%</f>
        <v>0.49</v>
      </c>
      <c r="K18" s="117" t="n">
        <v>0.7</v>
      </c>
      <c r="L18" s="126" t="n">
        <v>0.54</v>
      </c>
      <c r="M18" s="117" t="n">
        <v>0.45</v>
      </c>
      <c r="N18" s="117" t="n">
        <v>0.88</v>
      </c>
      <c r="O18" s="119" t="n">
        <v>0.98</v>
      </c>
      <c r="P18" s="112"/>
      <c r="Q18" s="112"/>
      <c r="R18" s="112"/>
      <c r="S18" s="112"/>
      <c r="T18" s="111" t="n">
        <v>0.45</v>
      </c>
      <c r="U18" s="112"/>
      <c r="V18" s="112"/>
      <c r="W18" s="111" t="n">
        <v>0.5</v>
      </c>
      <c r="X18" s="112"/>
      <c r="Y18" s="112"/>
    </row>
    <row r="19" customFormat="false" ht="14.25" hidden="false" customHeight="true" outlineLevel="0" collapsed="false">
      <c r="C19" s="125" t="s">
        <v>273</v>
      </c>
      <c r="D19" s="126" t="n">
        <v>0.33</v>
      </c>
      <c r="E19" s="126" t="n">
        <v>0.1</v>
      </c>
      <c r="F19" s="126" t="n">
        <v>0</v>
      </c>
      <c r="G19" s="127" t="n">
        <f aca="false">SUM(D19:F19)</f>
        <v>0.43</v>
      </c>
      <c r="H19" s="126" t="n">
        <v>0.45</v>
      </c>
      <c r="I19" s="126" t="n">
        <v>0.5</v>
      </c>
      <c r="J19" s="117" t="n">
        <f aca="false">I19-1%</f>
        <v>0.49</v>
      </c>
      <c r="K19" s="117" t="n">
        <v>0.7</v>
      </c>
      <c r="L19" s="126" t="n">
        <v>0.54</v>
      </c>
      <c r="M19" s="117" t="n">
        <v>0.45</v>
      </c>
      <c r="N19" s="117" t="n">
        <v>0.88</v>
      </c>
      <c r="O19" s="119" t="n">
        <v>0.98</v>
      </c>
      <c r="P19" s="112"/>
      <c r="Q19" s="112"/>
      <c r="R19" s="112"/>
      <c r="S19" s="112"/>
      <c r="T19" s="111" t="n">
        <v>0.45</v>
      </c>
      <c r="U19" s="112"/>
      <c r="V19" s="112"/>
      <c r="W19" s="111" t="n">
        <v>0.5</v>
      </c>
      <c r="X19" s="112"/>
      <c r="Y19" s="112"/>
    </row>
    <row r="20" customFormat="false" ht="14.25" hidden="false" customHeight="true" outlineLevel="0" collapsed="false">
      <c r="C20" s="125" t="s">
        <v>274</v>
      </c>
      <c r="D20" s="126" t="n">
        <v>0.31</v>
      </c>
      <c r="E20" s="126" t="n">
        <v>0.11</v>
      </c>
      <c r="F20" s="126" t="n">
        <v>0</v>
      </c>
      <c r="G20" s="127" t="n">
        <f aca="false">SUM(D20:F20)</f>
        <v>0.42</v>
      </c>
      <c r="H20" s="126" t="n">
        <v>0.45</v>
      </c>
      <c r="I20" s="126" t="n">
        <v>0.5</v>
      </c>
      <c r="J20" s="117" t="n">
        <f aca="false">I20-1%</f>
        <v>0.49</v>
      </c>
      <c r="K20" s="117" t="n">
        <v>0.7</v>
      </c>
      <c r="L20" s="126" t="n">
        <v>0.54</v>
      </c>
      <c r="M20" s="117" t="n">
        <v>0.45</v>
      </c>
      <c r="N20" s="117" t="n">
        <v>0.88</v>
      </c>
      <c r="O20" s="119" t="n">
        <v>0.98</v>
      </c>
      <c r="P20" s="112"/>
      <c r="Q20" s="112"/>
      <c r="R20" s="112"/>
      <c r="S20" s="112"/>
      <c r="T20" s="111" t="n">
        <v>0.45</v>
      </c>
      <c r="U20" s="112"/>
      <c r="V20" s="112"/>
      <c r="W20" s="111" t="n">
        <v>0.5</v>
      </c>
      <c r="X20" s="112"/>
      <c r="Y20" s="112"/>
    </row>
    <row r="21" customFormat="false" ht="14.25" hidden="false" customHeight="true" outlineLevel="0" collapsed="false">
      <c r="C21" s="125" t="s">
        <v>275</v>
      </c>
      <c r="D21" s="126" t="n">
        <v>0.3</v>
      </c>
      <c r="E21" s="126" t="n">
        <v>0.1</v>
      </c>
      <c r="F21" s="126" t="n">
        <v>0.03</v>
      </c>
      <c r="G21" s="127" t="n">
        <f aca="false">SUM(D21:F21)</f>
        <v>0.43</v>
      </c>
      <c r="H21" s="126" t="n">
        <v>0.45</v>
      </c>
      <c r="I21" s="126" t="n">
        <v>0.5</v>
      </c>
      <c r="J21" s="117" t="n">
        <f aca="false">I21-1%</f>
        <v>0.49</v>
      </c>
      <c r="K21" s="117" t="n">
        <v>0.7</v>
      </c>
      <c r="L21" s="126" t="n">
        <v>0.54</v>
      </c>
      <c r="M21" s="117" t="n">
        <v>0.45</v>
      </c>
      <c r="N21" s="117" t="n">
        <v>0.88</v>
      </c>
      <c r="O21" s="119" t="n">
        <v>0.98</v>
      </c>
      <c r="P21" s="112"/>
      <c r="Q21" s="112"/>
      <c r="R21" s="112"/>
      <c r="S21" s="112"/>
      <c r="T21" s="111" t="n">
        <v>0.45</v>
      </c>
      <c r="U21" s="112"/>
      <c r="V21" s="112"/>
      <c r="W21" s="111" t="n">
        <v>0.5</v>
      </c>
      <c r="X21" s="112"/>
      <c r="Y21" s="112"/>
    </row>
    <row r="22" customFormat="false" ht="14.25" hidden="false" customHeight="true" outlineLevel="0" collapsed="false">
      <c r="A22" s="97" t="n">
        <v>2000</v>
      </c>
      <c r="C22" s="128" t="s">
        <v>276</v>
      </c>
      <c r="D22" s="129" t="n">
        <v>0.29</v>
      </c>
      <c r="E22" s="129" t="n">
        <v>0.1</v>
      </c>
      <c r="F22" s="129" t="n">
        <v>0.05</v>
      </c>
      <c r="G22" s="130" t="n">
        <f aca="false">SUM(D22:F22)</f>
        <v>0.44</v>
      </c>
      <c r="H22" s="129" t="n">
        <v>0.45</v>
      </c>
      <c r="I22" s="129" t="n">
        <v>0.5</v>
      </c>
      <c r="J22" s="129" t="n">
        <f aca="false">I22-1%</f>
        <v>0.49</v>
      </c>
      <c r="K22" s="129" t="n">
        <v>0.7</v>
      </c>
      <c r="L22" s="129" t="n">
        <v>0.54</v>
      </c>
      <c r="M22" s="129" t="n">
        <v>0.45</v>
      </c>
      <c r="N22" s="129" t="n">
        <v>0.88</v>
      </c>
      <c r="O22" s="119" t="n">
        <v>0.98</v>
      </c>
      <c r="P22" s="112"/>
      <c r="Q22" s="112"/>
      <c r="R22" s="112"/>
      <c r="S22" s="112"/>
      <c r="T22" s="111" t="n">
        <v>0.45</v>
      </c>
      <c r="U22" s="112"/>
      <c r="V22" s="112"/>
      <c r="W22" s="111" t="n">
        <v>0.5</v>
      </c>
      <c r="X22" s="112"/>
      <c r="Y22" s="112"/>
    </row>
    <row r="23" customFormat="false" ht="14.25" hidden="false" customHeight="true" outlineLevel="0" collapsed="false">
      <c r="O23" s="1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2026-07-24T10:51:39Z</dcterms:created>
  <dc:creator>openpyxl</dc:creator>
  <dc:description/>
  <dc:language>en-US</dc:language>
  <cp:lastModifiedBy>Sales L1</cp:lastModifiedBy>
  <dcterms:modified xsi:type="dcterms:W3CDTF">2026-08-23T04:19:37Z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